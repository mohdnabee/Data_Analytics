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2" documentId="11_F25DC773A252ABDACC1048C8291E62A85BDE58E8" xr6:coauthVersionLast="47" xr6:coauthVersionMax="47" xr10:uidLastSave="{2BFC3E0B-66EA-4AD7-8964-FA7F0D1387A3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J13" i="2"/>
  <c r="J14" i="2"/>
  <c r="J15" i="2"/>
  <c r="J16" i="2"/>
  <c r="I12" i="2" a="1"/>
  <c r="I12" i="2" s="1"/>
  <c r="J2" i="2" a="1"/>
  <c r="J2" i="2" s="1"/>
  <c r="J3" i="2" a="1"/>
  <c r="J3" i="2" s="1"/>
  <c r="J4" i="2" a="1"/>
  <c r="J4" i="2" s="1"/>
  <c r="J5" i="2" a="1"/>
  <c r="J5" i="2" s="1"/>
  <c r="J6" i="2" a="1"/>
  <c r="J6" i="2" s="1"/>
  <c r="E15" i="1"/>
  <c r="E16" i="1"/>
  <c r="E17" i="1"/>
  <c r="E18" i="1"/>
  <c r="E14" i="1"/>
  <c r="M13" i="1"/>
  <c r="M14" i="1"/>
  <c r="M15" i="1"/>
  <c r="M16" i="1"/>
  <c r="M12" i="1"/>
  <c r="J12" i="2" l="1"/>
  <c r="K1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<sst xmlns="http://schemas.openxmlformats.org/spreadsheetml/2006/main" count="90" uniqueCount="56">
  <si>
    <t>ProductID</t>
  </si>
  <si>
    <t>ProductName</t>
  </si>
  <si>
    <t>Category</t>
  </si>
  <si>
    <t>Price</t>
  </si>
  <si>
    <t>P1001</t>
  </si>
  <si>
    <t>Stationery</t>
  </si>
  <si>
    <t>P1002</t>
  </si>
  <si>
    <t>Pen</t>
  </si>
  <si>
    <t>P1003</t>
  </si>
  <si>
    <t>USB Cable</t>
  </si>
  <si>
    <t>Electronics</t>
  </si>
  <si>
    <t>P1004</t>
  </si>
  <si>
    <t>Mouse</t>
  </si>
  <si>
    <t>P1005</t>
  </si>
  <si>
    <t>Water Bottle</t>
  </si>
  <si>
    <t>Lifestyle</t>
  </si>
  <si>
    <t>OrderID</t>
  </si>
  <si>
    <t>Qty</t>
  </si>
  <si>
    <t>O-001</t>
  </si>
  <si>
    <t>O-002</t>
  </si>
  <si>
    <t>O-003</t>
  </si>
  <si>
    <t>O-004</t>
  </si>
  <si>
    <t>O-005</t>
  </si>
  <si>
    <t>P9999</t>
  </si>
  <si>
    <t xml:space="preserve">order  Product  Name </t>
  </si>
  <si>
    <t>NoteBook</t>
  </si>
  <si>
    <t xml:space="preserve">productr  name </t>
  </si>
  <si>
    <t>Employee_ID</t>
  </si>
  <si>
    <t>Employee_Name</t>
  </si>
  <si>
    <t>Department</t>
  </si>
  <si>
    <t>City</t>
  </si>
  <si>
    <t>Salary</t>
  </si>
  <si>
    <t>Rahul Sharma</t>
  </si>
  <si>
    <t>IT</t>
  </si>
  <si>
    <t>Jabalpur</t>
  </si>
  <si>
    <t>Priya Patel</t>
  </si>
  <si>
    <t>HR</t>
  </si>
  <si>
    <t>Bhopal</t>
  </si>
  <si>
    <t>Aman Verma</t>
  </si>
  <si>
    <t>Sales</t>
  </si>
  <si>
    <t>Indore</t>
  </si>
  <si>
    <t>Sneha Gupta</t>
  </si>
  <si>
    <t>Delhi</t>
  </si>
  <si>
    <t>Rohit Yadav</t>
  </si>
  <si>
    <t>Finance</t>
  </si>
  <si>
    <t>Mumbai</t>
  </si>
  <si>
    <t>Neha Singh</t>
  </si>
  <si>
    <t>Marketing</t>
  </si>
  <si>
    <t>Pune</t>
  </si>
  <si>
    <t>Arjun Mehta</t>
  </si>
  <si>
    <t>Pooja Jain</t>
  </si>
  <si>
    <t>Vikas Mishra</t>
  </si>
  <si>
    <t>Anjali Rao</t>
  </si>
  <si>
    <t>Deaptments</t>
  </si>
  <si>
    <t xml:space="preserve"> Total  Depar </t>
  </si>
  <si>
    <t xml:space="preserve">Total  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</si>
</sst>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Sheet2!$K$11</c:f>
              <c:strCache>
                <c:ptCount val="1"/>
                <c:pt idx="0">
                  <c:v>Total  salary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A5B-444B-9D58-0CCDDD21A7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5B-444B-9D58-0CCDDD21A7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A5B-444B-9D58-0CCDDD21A7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5B-444B-9D58-0CCDDD21A7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A5B-444B-9D58-0CCDDD21A706}"/>
              </c:ext>
            </c:extLst>
          </c:dPt>
          <c:dLbls>
            <c:dLbl>
              <c:idx val="0"/>
              <c:layout>
                <c:manualLayout>
                  <c:x val="3.6166365280289332E-2"/>
                  <c:y val="-5.200208008320332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5B-444B-9D58-0CCDDD21A706}"/>
                </c:ext>
              </c:extLst>
            </c:dLbl>
            <c:dLbl>
              <c:idx val="1"/>
              <c:layout>
                <c:manualLayout>
                  <c:x val="1.5069318866787222E-2"/>
                  <c:y val="1.040041601664066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5B-444B-9D58-0CCDDD21A706}"/>
                </c:ext>
              </c:extLst>
            </c:dLbl>
            <c:dLbl>
              <c:idx val="2"/>
              <c:layout>
                <c:manualLayout>
                  <c:x val="-2.1097046413502137E-2"/>
                  <c:y val="2.60010400416017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5B-444B-9D58-0CCDDD21A706}"/>
                </c:ext>
              </c:extLst>
            </c:dLbl>
            <c:dLbl>
              <c:idx val="3"/>
              <c:layout>
                <c:manualLayout>
                  <c:x val="-5.1235684147076549E-2"/>
                  <c:y val="-2.600104004160171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5B-444B-9D58-0CCDDD21A706}"/>
                </c:ext>
              </c:extLst>
            </c:dLbl>
            <c:dLbl>
              <c:idx val="4"/>
              <c:layout>
                <c:manualLayout>
                  <c:x val="-4.5207956600361719E-2"/>
                  <c:y val="-1.040041601664066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5B-444B-9D58-0CCDDD21A7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Sheet2!$I$12:$I$16</c:f>
              <c:strCache>
                <c:ptCount val="5"/>
                <c:pt idx="0">
                  <c:v>IT</c:v>
                </c:pt>
                <c:pt idx="1">
                  <c:v>HR</c:v>
                </c:pt>
                <c:pt idx="2">
                  <c:v>Sales</c:v>
                </c:pt>
                <c:pt idx="3">
                  <c:v>Finance</c:v>
                </c:pt>
                <c:pt idx="4">
                  <c:v>Marketing</c:v>
                </c:pt>
              </c:strCache>
            </c:strRef>
          </c:cat>
          <c:val>
            <c:numRef>
              <c:f>Sheet2!$K$12:$K$16</c:f>
              <c:numCache>
                <c:formatCode>General</c:formatCode>
                <c:ptCount val="5"/>
                <c:pt idx="0">
                  <c:v>122000</c:v>
                </c:pt>
                <c:pt idx="1">
                  <c:v>55000</c:v>
                </c:pt>
                <c:pt idx="2">
                  <c:v>66000</c:v>
                </c:pt>
                <c:pt idx="3">
                  <c:v>78000</c:v>
                </c:pt>
                <c:pt idx="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B-444B-9D58-0CCDDD21A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Sheet2!$J$11</c15:sqref>
                        </c15:formulaRef>
                      </c:ext>
                    </c:extLst>
                    <c:strCache>
                      <c:ptCount val="1"/>
                      <c:pt idx="0">
                        <c:v> Total  Depar 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Sheet2!$I$12:$I$16</c15:sqref>
                        </c15:formulaRef>
                      </c:ext>
                    </c:extLst>
                    <c:strCache>
                      <c:ptCount val="5"/>
                      <c:pt idx="0">
                        <c:v>IT</c:v>
                      </c:pt>
                      <c:pt idx="1">
                        <c:v>HR</c:v>
                      </c:pt>
                      <c:pt idx="2">
                        <c:v>Sales</c:v>
                      </c:pt>
                      <c:pt idx="3">
                        <c:v>Finance</c:v>
                      </c:pt>
                      <c:pt idx="4">
                        <c:v>Marketing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Sheet2!$J$12:$J$16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A5B-444B-9D58-0CCDDD21A706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373380</xdr:colOff>
      <xdr:row>8</xdr:row>
      <xdr:rowOff>95250</xdr:rowOff>
    </xdr:from>
    <xdr:to>
      <xdr:col>18</xdr:col>
      <xdr:colOff>297180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A4B3EA-7CC1-785B-AF8D-5169A73DD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3B86A-D784-4DEF-BB9B-18289A5F65C1}" name="Table1" displayName="Table1" ref="B2:E7" totalsRowShown="0">
  <autoFilter ref="B2:E7" xr:uid="{39E3B86A-D784-4DEF-BB9B-18289A5F65C1}"/>
  <tableColumns count="4">
    <tableColumn id="1" xr3:uid="{F1968923-66B7-4CE6-AD6C-ACD0CE318BB8}" name="ProductID"/>
    <tableColumn id="2" xr3:uid="{DDBC67EF-3CEE-41D0-A563-A68A14E9C873}" name="ProductName"/>
    <tableColumn id="3" xr3:uid="{8995F63B-2D7F-42B8-91B9-26061D2C4653}" name="Category"/>
    <tableColumn id="4" xr3:uid="{6294DD60-C3E1-478C-94C7-26E4A20673DB}" name="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E71010-4754-41BB-868A-22A8F5599C0F}" name="Table2" displayName="Table2" ref="B1:F11" totalsRowShown="0">
  <autoFilter ref="B1:F11" xr:uid="{9EE71010-4754-41BB-868A-22A8F5599C0F}"/>
  <tableColumns count="5">
    <tableColumn id="1" xr3:uid="{F36E2A47-E4FD-436D-95D1-023E6135589C}" name="Employee_ID"/>
    <tableColumn id="2" xr3:uid="{4BB5710A-C581-4D4B-AFA7-29653223D219}" name="Employee_Name"/>
    <tableColumn id="3" xr3:uid="{1A67B76B-ED8E-489E-93AD-DB029E691EEA}" name="Department"/>
    <tableColumn id="4" xr3:uid="{A51E2649-F0A3-42BB-9030-EBFE670DD99C}" name="City"/>
    <tableColumn id="5" xr3:uid="{59465CD3-8ABB-43CC-86B1-6BCEBD66BAB7}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8"/>
  <sheetViews>
    <sheetView workbookViewId="0">
      <selection activeCell="N18" sqref="N18"/>
    </sheetView>
  </sheetViews>
  <sheetFormatPr defaultRowHeight="14.4" x14ac:dyDescent="0.3"/>
  <cols>
    <col min="2" max="2" width="11.77734375" customWidth="1"/>
    <col min="3" max="3" width="16.21875" customWidth="1"/>
    <col min="4" max="4" width="11.5546875" customWidth="1"/>
    <col min="5" max="5" width="12.77734375" customWidth="1"/>
    <col min="7" max="7" width="7.44140625" bestFit="1" customWidth="1"/>
    <col min="8" max="8" width="11.77734375" customWidth="1"/>
    <col min="9" max="9" width="6.5546875" customWidth="1"/>
    <col min="10" max="10" width="10.44140625" customWidth="1"/>
    <col min="13" max="13" width="22.109375" customWidth="1"/>
  </cols>
  <sheetData>
    <row r="2" spans="2:13" x14ac:dyDescent="0.3">
      <c r="B2" t="s">
        <v>0</v>
      </c>
      <c r="C2" t="s">
        <v>1</v>
      </c>
      <c r="D2" t="s">
        <v>2</v>
      </c>
      <c r="E2" t="s">
        <v>3</v>
      </c>
    </row>
    <row r="3" spans="2:13" x14ac:dyDescent="0.3">
      <c r="B3" t="s">
        <v>4</v>
      </c>
      <c r="C3" t="s">
        <v>25</v>
      </c>
      <c r="D3" t="s">
        <v>5</v>
      </c>
      <c r="E3">
        <v>50</v>
      </c>
    </row>
    <row r="4" spans="2:13" x14ac:dyDescent="0.3">
      <c r="B4" t="s">
        <v>6</v>
      </c>
      <c r="C4" t="s">
        <v>7</v>
      </c>
      <c r="D4" t="s">
        <v>5</v>
      </c>
      <c r="E4">
        <v>10</v>
      </c>
    </row>
    <row r="5" spans="2:13" x14ac:dyDescent="0.3">
      <c r="B5" t="s">
        <v>8</v>
      </c>
      <c r="C5" t="s">
        <v>9</v>
      </c>
      <c r="D5" t="s">
        <v>10</v>
      </c>
      <c r="E5">
        <v>199</v>
      </c>
    </row>
    <row r="6" spans="2:13" x14ac:dyDescent="0.3">
      <c r="B6" t="s">
        <v>11</v>
      </c>
      <c r="C6" t="s">
        <v>12</v>
      </c>
      <c r="D6" t="s">
        <v>10</v>
      </c>
      <c r="E6">
        <v>499</v>
      </c>
    </row>
    <row r="7" spans="2:13" x14ac:dyDescent="0.3">
      <c r="B7" t="s">
        <v>13</v>
      </c>
      <c r="C7" t="s">
        <v>14</v>
      </c>
      <c r="D7" t="s">
        <v>15</v>
      </c>
      <c r="E7">
        <v>299</v>
      </c>
    </row>
    <row r="11" spans="2:13" x14ac:dyDescent="0.3">
      <c r="J11" t="s">
        <v>16</v>
      </c>
      <c r="K11" t="s">
        <v>0</v>
      </c>
      <c r="L11" t="s">
        <v>17</v>
      </c>
      <c r="M11" t="s">
        <v>24</v>
      </c>
    </row>
    <row r="12" spans="2:13" x14ac:dyDescent="0.3">
      <c r="J12" t="s">
        <v>18</v>
      </c>
      <c r="K12" t="s">
        <v>8</v>
      </c>
      <c r="L12">
        <v>2</v>
      </c>
      <c r="M12" t="str">
        <f>IF(ISNA(VLOOKUP(K12,$B$2:$E$7,2,FALSE))," Not Present ", VLOOKUP(K12,$B$2:$E$7,2,FALSE))</f>
        <v>USB Cable</v>
      </c>
    </row>
    <row r="13" spans="2:13" x14ac:dyDescent="0.3">
      <c r="B13" t="s">
        <v>16</v>
      </c>
      <c r="C13" t="s">
        <v>0</v>
      </c>
      <c r="D13" t="s">
        <v>17</v>
      </c>
      <c r="E13" t="s">
        <v>26</v>
      </c>
      <c r="J13" t="s">
        <v>19</v>
      </c>
      <c r="K13" t="s">
        <v>4</v>
      </c>
      <c r="L13">
        <v>5</v>
      </c>
      <c r="M13" t="str">
        <f t="shared" ref="M13:M16" si="0">IF(ISNA(VLOOKUP(K13,$B$2:$E$7,2,FALSE))," Not Present ", VLOOKUP(K13,$B$2:$E$7,2,FALSE))</f>
        <v>NoteBook</v>
      </c>
    </row>
    <row r="14" spans="2:13" x14ac:dyDescent="0.3">
      <c r="B14" t="s">
        <v>18</v>
      </c>
      <c r="C14" t="s">
        <v>8</v>
      </c>
      <c r="D14">
        <v>2</v>
      </c>
      <c r="E14" t="str">
        <f>VLOOKUP(C14,Table1[#All],2,FALSE)</f>
        <v>USB Cable</v>
      </c>
      <c r="J14" t="s">
        <v>20</v>
      </c>
      <c r="K14" t="s">
        <v>11</v>
      </c>
      <c r="L14">
        <v>1</v>
      </c>
      <c r="M14" t="str">
        <f t="shared" si="0"/>
        <v>Mouse</v>
      </c>
    </row>
    <row r="15" spans="2:13" x14ac:dyDescent="0.3">
      <c r="B15" t="s">
        <v>19</v>
      </c>
      <c r="C15" t="s">
        <v>4</v>
      </c>
      <c r="D15">
        <v>5</v>
      </c>
      <c r="E15" t="str">
        <f>VLOOKUP(C15,Table1[#All],2,FALSE)</f>
        <v>NoteBook</v>
      </c>
      <c r="J15" t="s">
        <v>21</v>
      </c>
      <c r="K15" t="s">
        <v>6</v>
      </c>
      <c r="L15">
        <v>10</v>
      </c>
      <c r="M15" t="str">
        <f t="shared" si="0"/>
        <v>Pen</v>
      </c>
    </row>
    <row r="16" spans="2:13" x14ac:dyDescent="0.3">
      <c r="B16" t="s">
        <v>20</v>
      </c>
      <c r="C16" t="s">
        <v>11</v>
      </c>
      <c r="D16">
        <v>1</v>
      </c>
      <c r="E16" t="str">
        <f>VLOOKUP(C16,Table1[#All],2,FALSE)</f>
        <v>Mouse</v>
      </c>
      <c r="J16" t="s">
        <v>22</v>
      </c>
      <c r="K16" t="s">
        <v>23</v>
      </c>
      <c r="L16">
        <v>1</v>
      </c>
      <c r="M16" t="str">
        <f t="shared" si="0"/>
        <v xml:space="preserve"> Not Present </v>
      </c>
    </row>
    <row r="17" spans="2:5" x14ac:dyDescent="0.3">
      <c r="B17" t="s">
        <v>21</v>
      </c>
      <c r="C17" t="s">
        <v>6</v>
      </c>
      <c r="D17">
        <v>10</v>
      </c>
      <c r="E17" t="str">
        <f>VLOOKUP(C17,Table1[#All],2,FALSE)</f>
        <v>Pen</v>
      </c>
    </row>
    <row r="18" spans="2:5" x14ac:dyDescent="0.3">
      <c r="B18" t="s">
        <v>22</v>
      </c>
      <c r="C18" t="s">
        <v>23</v>
      </c>
      <c r="D18">
        <v>1</v>
      </c>
      <c r="E18" t="e">
        <f>VLOOKUP(C18,Table1[#All],2,FALSE)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7C85-41DD-426D-8C17-E017EEF069D8}">
  <dimension ref="B1:M16"/>
  <sheetViews>
    <sheetView tabSelected="1" topLeftCell="B1" workbookViewId="0">
      <selection activeCell="Q4" sqref="Q4"/>
    </sheetView>
  </sheetViews>
  <sheetFormatPr defaultRowHeight="14.4" x14ac:dyDescent="0.3"/>
  <cols>
    <col min="2" max="2" width="14" customWidth="1"/>
    <col min="3" max="3" width="17.21875" customWidth="1"/>
    <col min="4" max="4" width="13" customWidth="1"/>
    <col min="9" max="9" width="11.6640625" customWidth="1"/>
    <col min="10" max="10" width="17.5546875" customWidth="1"/>
    <col min="11" max="11" width="10.44140625" customWidth="1"/>
    <col min="13" max="13" width="9.21875" customWidth="1"/>
  </cols>
  <sheetData>
    <row r="1" spans="2:13" x14ac:dyDescent="0.3">
      <c r="B1" t="s">
        <v>27</v>
      </c>
      <c r="C1" t="s">
        <v>28</v>
      </c>
      <c r="D1" t="s">
        <v>29</v>
      </c>
      <c r="E1" t="s">
        <v>30</v>
      </c>
      <c r="F1" t="s">
        <v>31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2:13" x14ac:dyDescent="0.3">
      <c r="B2">
        <v>101</v>
      </c>
      <c r="C2" t="s">
        <v>32</v>
      </c>
      <c r="D2" t="s">
        <v>33</v>
      </c>
      <c r="E2" t="s">
        <v>34</v>
      </c>
      <c r="F2">
        <v>35000</v>
      </c>
      <c r="I2">
        <v>107</v>
      </c>
      <c r="J2" t="str" cm="1">
        <f t="array" ref="J2:M2">VLOOKUP(I2,Table2[#All],{2,3,4,5},)</f>
        <v>Arjun Mehta</v>
      </c>
      <c r="K2" t="str">
        <v>IT</v>
      </c>
      <c r="L2" t="str">
        <v>Bhopal</v>
      </c>
      <c r="M2">
        <v>45000</v>
      </c>
    </row>
    <row r="3" spans="2:13" x14ac:dyDescent="0.3">
      <c r="B3">
        <v>102</v>
      </c>
      <c r="C3" t="s">
        <v>35</v>
      </c>
      <c r="D3" t="s">
        <v>36</v>
      </c>
      <c r="E3" t="s">
        <v>37</v>
      </c>
      <c r="F3">
        <v>28000</v>
      </c>
      <c r="I3">
        <v>102</v>
      </c>
      <c r="J3" t="str" cm="1">
        <f t="array" ref="J3:M3">VLOOKUP(I3,Table2[#All],{2,3,4,5},)</f>
        <v>Priya Patel</v>
      </c>
      <c r="K3" t="str">
        <v>HR</v>
      </c>
      <c r="L3" t="str">
        <v>Bhopal</v>
      </c>
      <c r="M3">
        <v>28000</v>
      </c>
    </row>
    <row r="4" spans="2:13" x14ac:dyDescent="0.3">
      <c r="B4">
        <v>103</v>
      </c>
      <c r="C4" t="s">
        <v>38</v>
      </c>
      <c r="D4" t="s">
        <v>39</v>
      </c>
      <c r="E4" t="s">
        <v>40</v>
      </c>
      <c r="F4">
        <v>32000</v>
      </c>
      <c r="I4">
        <v>110</v>
      </c>
      <c r="J4" t="str" cm="1">
        <f t="array" ref="J4:M4">VLOOKUP(I4,Table2[#All],{2,3,4,5},)</f>
        <v>Anjali Rao</v>
      </c>
      <c r="K4" t="str">
        <v>Finance</v>
      </c>
      <c r="L4" t="str">
        <v>Indore</v>
      </c>
      <c r="M4">
        <v>40000</v>
      </c>
    </row>
    <row r="5" spans="2:13" x14ac:dyDescent="0.3">
      <c r="B5">
        <v>104</v>
      </c>
      <c r="C5" t="s">
        <v>41</v>
      </c>
      <c r="D5" t="s">
        <v>33</v>
      </c>
      <c r="E5" t="s">
        <v>42</v>
      </c>
      <c r="F5">
        <v>42000</v>
      </c>
      <c r="I5">
        <v>104</v>
      </c>
      <c r="J5" t="str" cm="1">
        <f t="array" ref="J5:M5">VLOOKUP(I5,Table2[#All],{2,3,4,5},)</f>
        <v>Sneha Gupta</v>
      </c>
      <c r="K5" t="str">
        <v>IT</v>
      </c>
      <c r="L5" t="str">
        <v>Delhi</v>
      </c>
      <c r="M5">
        <v>42000</v>
      </c>
    </row>
    <row r="6" spans="2:13" x14ac:dyDescent="0.3">
      <c r="B6">
        <v>105</v>
      </c>
      <c r="C6" t="s">
        <v>43</v>
      </c>
      <c r="D6" t="s">
        <v>44</v>
      </c>
      <c r="E6" t="s">
        <v>45</v>
      </c>
      <c r="F6">
        <v>38000</v>
      </c>
      <c r="I6">
        <v>108</v>
      </c>
      <c r="J6" t="str" cm="1">
        <f t="array" ref="J6:M6">VLOOKUP(I6,Table2[#All],{2,3,4,5},)</f>
        <v>Pooja Jain</v>
      </c>
      <c r="K6" t="str">
        <v>HR</v>
      </c>
      <c r="L6" t="str">
        <v>Jabalpur</v>
      </c>
      <c r="M6">
        <v>27000</v>
      </c>
    </row>
    <row r="7" spans="2:13" x14ac:dyDescent="0.3">
      <c r="B7">
        <v>106</v>
      </c>
      <c r="C7" t="s">
        <v>46</v>
      </c>
      <c r="D7" t="s">
        <v>47</v>
      </c>
      <c r="E7" t="s">
        <v>48</v>
      </c>
      <c r="F7">
        <v>30000</v>
      </c>
    </row>
    <row r="8" spans="2:13" x14ac:dyDescent="0.3">
      <c r="B8">
        <v>107</v>
      </c>
      <c r="C8" t="s">
        <v>49</v>
      </c>
      <c r="D8" t="s">
        <v>33</v>
      </c>
      <c r="E8" t="s">
        <v>37</v>
      </c>
      <c r="F8">
        <v>45000</v>
      </c>
    </row>
    <row r="9" spans="2:13" x14ac:dyDescent="0.3">
      <c r="B9">
        <v>108</v>
      </c>
      <c r="C9" t="s">
        <v>50</v>
      </c>
      <c r="D9" t="s">
        <v>36</v>
      </c>
      <c r="E9" t="s">
        <v>34</v>
      </c>
      <c r="F9">
        <v>27000</v>
      </c>
    </row>
    <row r="10" spans="2:13" x14ac:dyDescent="0.3">
      <c r="B10">
        <v>109</v>
      </c>
      <c r="C10" t="s">
        <v>51</v>
      </c>
      <c r="D10" t="s">
        <v>39</v>
      </c>
      <c r="E10" t="s">
        <v>42</v>
      </c>
      <c r="F10">
        <v>34000</v>
      </c>
    </row>
    <row r="11" spans="2:13" x14ac:dyDescent="0.3">
      <c r="B11">
        <v>110</v>
      </c>
      <c r="C11" t="s">
        <v>52</v>
      </c>
      <c r="D11" t="s">
        <v>44</v>
      </c>
      <c r="E11" t="s">
        <v>40</v>
      </c>
      <c r="F11">
        <v>40000</v>
      </c>
      <c r="I11" s="1" t="s">
        <v>53</v>
      </c>
      <c r="J11" s="1" t="s">
        <v>54</v>
      </c>
      <c r="K11" s="1" t="s">
        <v>55</v>
      </c>
    </row>
    <row r="12" spans="2:13" x14ac:dyDescent="0.3">
      <c r="I12" s="2" t="str" cm="1">
        <f t="array" ref="I12:I16">_xlfn.UNIQUE(Table2[Department])</f>
        <v>IT</v>
      </c>
      <c r="J12" s="2">
        <f>COUNTIF(Table2[Department],I12)</f>
        <v>3</v>
      </c>
      <c r="K12" s="2">
        <f>SUMIF(Table2[Department],I12,Table2[Salary])</f>
        <v>122000</v>
      </c>
    </row>
    <row r="13" spans="2:13" x14ac:dyDescent="0.3">
      <c r="I13" s="2" t="str">
        <v>HR</v>
      </c>
      <c r="J13" s="2">
        <f>COUNTIF(Table2[Department],I13)</f>
        <v>2</v>
      </c>
      <c r="K13" s="2">
        <f>SUMIF(Table2[Department],I13,Table2[Salary])</f>
        <v>55000</v>
      </c>
    </row>
    <row r="14" spans="2:13" x14ac:dyDescent="0.3">
      <c r="I14" s="2" t="str">
        <v>Sales</v>
      </c>
      <c r="J14" s="2">
        <f>COUNTIF(Table2[Department],I14)</f>
        <v>2</v>
      </c>
      <c r="K14" s="2">
        <f>SUMIF(Table2[Department],I14,Table2[Salary])</f>
        <v>66000</v>
      </c>
    </row>
    <row r="15" spans="2:13" x14ac:dyDescent="0.3">
      <c r="I15" s="2" t="str">
        <v>Finance</v>
      </c>
      <c r="J15" s="2">
        <f>COUNTIF(Table2[Department],I15)</f>
        <v>2</v>
      </c>
      <c r="K15" s="2">
        <f>SUMIF(Table2[Department],I15,Table2[Salary])</f>
        <v>78000</v>
      </c>
    </row>
    <row r="16" spans="2:13" x14ac:dyDescent="0.3">
      <c r="I16" s="2" t="str">
        <v>Marketing</v>
      </c>
      <c r="J16" s="2">
        <f>COUNTIF(Table2[Department],I16)</f>
        <v>1</v>
      </c>
      <c r="K16" s="2">
        <f>SUMIF(Table2[Department],I16,Table2[Salary])</f>
        <v>30000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Nabeel</dc:creator>
  <cp:lastModifiedBy>Mohd Nabeel</cp:lastModifiedBy>
  <dcterms:created xsi:type="dcterms:W3CDTF">2015-06-05T18:17:20Z</dcterms:created>
  <dcterms:modified xsi:type="dcterms:W3CDTF">2026-10-13T08:19:01Z</dcterms:modified>
</cp:coreProperties>
</file>