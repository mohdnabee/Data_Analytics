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8a6ce4a7617f1ad9/Desktop/courses/Data Analytics/7- Advance Excel/"/>
    </mc:Choice>
  </mc:AlternateContent>
  <xr:revisionPtr revIDLastSave="10" documentId="11_F25DC773A252ABDACC1048C8291E62A85BDE58E8" xr6:coauthVersionLast="47" xr6:coauthVersionMax="47" xr10:uidLastSave="{BF4CBE46-F90C-49F5-9763-1A0E442F7855}"/>
  <bookViews>
    <workbookView xWindow="-108" yWindow="-108" windowWidth="23256" windowHeight="12456" xr2:uid="{00000000-000D-0000-FFFF-FFFF00000000}"/>
  </bookViews>
  <sheets>
    <sheet name="Sheet1" sheetId="4" r:id="rId1"/>
    <sheet name="Sheet2" sheetId="2" r:id="rId2"/>
    <sheet name="WildCard match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4" i="4" l="1"/>
  <c r="R4" i="4" s="1"/>
  <c r="Q5" i="4"/>
  <c r="R5" i="4" s="1"/>
  <c r="Q6" i="4"/>
  <c r="R6" i="4" s="1"/>
  <c r="Q7" i="4"/>
  <c r="R7" i="4" s="1"/>
  <c r="P4" i="4"/>
  <c r="P5" i="4"/>
  <c r="P6" i="4"/>
  <c r="P7" i="4"/>
  <c r="Q3" i="4"/>
  <c r="P3" i="4"/>
  <c r="O3" i="4" a="1"/>
  <c r="O3" i="4" s="1"/>
  <c r="G23" i="4" a="1"/>
  <c r="G23" i="4" s="1"/>
  <c r="G26" i="4"/>
  <c r="G25" i="4"/>
  <c r="G24" i="4" a="1"/>
  <c r="G24" i="4" s="1"/>
  <c r="A25" i="4"/>
  <c r="G22" i="4"/>
  <c r="G21" i="4"/>
  <c r="A26" i="4"/>
  <c r="A24" i="4"/>
  <c r="A23" i="4"/>
  <c r="A22" i="4"/>
  <c r="A21" i="4"/>
  <c r="J4" i="3" a="1"/>
  <c r="J4" i="3" s="1"/>
  <c r="J5" i="3" a="1"/>
  <c r="J5" i="3" s="1"/>
  <c r="J6" i="3" a="1"/>
  <c r="J6" i="3" s="1"/>
  <c r="J7" i="3" a="1"/>
  <c r="J7" i="3" s="1"/>
  <c r="J3" i="3" a="1"/>
  <c r="J3" i="3" s="1"/>
  <c r="J12" i="2" a="1"/>
  <c r="J12" i="2" s="1"/>
  <c r="J13" i="2" a="1"/>
  <c r="J13" i="2" s="1"/>
  <c r="J14" i="2" a="1"/>
  <c r="J14" i="2" s="1"/>
  <c r="J15" i="2" a="1"/>
  <c r="J15" i="2" s="1"/>
  <c r="J16" i="2" a="1"/>
  <c r="J16" i="2" s="1"/>
  <c r="J7" i="2"/>
  <c r="J4" i="2"/>
  <c r="J5" i="2"/>
  <c r="J6" i="2"/>
  <c r="J3" i="2"/>
  <c r="R3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<sst xmlns="http://schemas.openxmlformats.org/spreadsheetml/2006/main" count="201" uniqueCount="99">
  <si>
    <t>ProductID</t>
  </si>
  <si>
    <t>ProductName</t>
  </si>
  <si>
    <t>Category</t>
  </si>
  <si>
    <t>Price</t>
  </si>
  <si>
    <t>P1001</t>
  </si>
  <si>
    <t>NoteBook</t>
  </si>
  <si>
    <t>Stationery</t>
  </si>
  <si>
    <t>P1002</t>
  </si>
  <si>
    <t>Pen</t>
  </si>
  <si>
    <t>P1003</t>
  </si>
  <si>
    <t>USB Cable</t>
  </si>
  <si>
    <t>Electronics</t>
  </si>
  <si>
    <t>P1004</t>
  </si>
  <si>
    <t>Mouse</t>
  </si>
  <si>
    <t>P1005</t>
  </si>
  <si>
    <t>Water Bottle</t>
  </si>
  <si>
    <t>Lifestyle</t>
  </si>
  <si>
    <t>OrderID</t>
  </si>
  <si>
    <t>Qty</t>
  </si>
  <si>
    <t>O-001</t>
  </si>
  <si>
    <t>O-002</t>
  </si>
  <si>
    <t>O-003</t>
  </si>
  <si>
    <t>O-004</t>
  </si>
  <si>
    <t>O-005</t>
  </si>
  <si>
    <t>P9999</t>
  </si>
  <si>
    <t>P ID</t>
  </si>
  <si>
    <t xml:space="preserve">P Name </t>
  </si>
  <si>
    <t>price</t>
  </si>
  <si>
    <t xml:space="preserve">P1002 sales </t>
  </si>
  <si>
    <t xml:space="preserve">Pen dom </t>
  </si>
  <si>
    <t>Employee ID</t>
  </si>
  <si>
    <t>Employee Name</t>
  </si>
  <si>
    <t>Department</t>
  </si>
  <si>
    <t>City</t>
  </si>
  <si>
    <t>Experience (Years)</t>
  </si>
  <si>
    <t>E101</t>
  </si>
  <si>
    <t>Rahul Sharma</t>
  </si>
  <si>
    <t>IT</t>
  </si>
  <si>
    <t>Jabalpur</t>
  </si>
  <si>
    <t>E102</t>
  </si>
  <si>
    <t>Priya Verma</t>
  </si>
  <si>
    <t>HR</t>
  </si>
  <si>
    <t>Bhopal</t>
  </si>
  <si>
    <t>E103</t>
  </si>
  <si>
    <t>Aman Khan</t>
  </si>
  <si>
    <t>Sales</t>
  </si>
  <si>
    <t>Indore</t>
  </si>
  <si>
    <t>E104</t>
  </si>
  <si>
    <t>Neha Patel</t>
  </si>
  <si>
    <t>Finance</t>
  </si>
  <si>
    <t>Delhi</t>
  </si>
  <si>
    <t>E105</t>
  </si>
  <si>
    <t>Rohit Singh</t>
  </si>
  <si>
    <t>Mumbai</t>
  </si>
  <si>
    <t>E106</t>
  </si>
  <si>
    <t>Sneha Gupta</t>
  </si>
  <si>
    <t>Marketing</t>
  </si>
  <si>
    <t>Pune</t>
  </si>
  <si>
    <t>E107</t>
  </si>
  <si>
    <t>Arjun Yadav</t>
  </si>
  <si>
    <t>E108</t>
  </si>
  <si>
    <t>Pooja Jain</t>
  </si>
  <si>
    <t>E109</t>
  </si>
  <si>
    <t>Karan Mehta</t>
  </si>
  <si>
    <t>E110</t>
  </si>
  <si>
    <t>Anjali Das</t>
  </si>
  <si>
    <t>E111</t>
  </si>
  <si>
    <t>Vikram Rao</t>
  </si>
  <si>
    <t>E112</t>
  </si>
  <si>
    <t>Simran Kaur</t>
  </si>
  <si>
    <t>E113</t>
  </si>
  <si>
    <t>Deepak Joshi</t>
  </si>
  <si>
    <t>E114</t>
  </si>
  <si>
    <t>Kavita Roy</t>
  </si>
  <si>
    <t>E115</t>
  </si>
  <si>
    <t>Mohit Sahu</t>
  </si>
  <si>
    <t>Monthly Salary</t>
  </si>
  <si>
    <t>Bonus</t>
  </si>
  <si>
    <t>Rating</t>
  </si>
  <si>
    <t>Status</t>
  </si>
  <si>
    <t>Active</t>
  </si>
  <si>
    <t>Inactive</t>
  </si>
  <si>
    <t>1. Find Rahul Sharma's Employee ID using his name.</t>
  </si>
  <si>
    <t>2. Find the department of employee E108.</t>
  </si>
  <si>
    <t>3. Find the monthly salary of employee E111.</t>
  </si>
  <si>
    <t>4. Find the bonus of employee E104.</t>
  </si>
  <si>
    <t>5. Find the city of employee E115.</t>
  </si>
  <si>
    <t>6. Find the performance rating of employee E102.</t>
  </si>
  <si>
    <t>7. Find the status of employee E110.</t>
  </si>
  <si>
    <t>8. Find the employee name for ID E113.</t>
  </si>
  <si>
    <t>9. Return both Monthly Salary and Bonus for E106.</t>
  </si>
  <si>
    <t>10. Return Department, City, and Experience for E101.</t>
  </si>
  <si>
    <t>11. Display Not Found when employee ID E120 does not exist.</t>
  </si>
  <si>
    <t>12. Search for E109 and return salary; if missing, show 0</t>
  </si>
  <si>
    <t xml:space="preserve">Departments  Biils </t>
  </si>
  <si>
    <t xml:space="preserve">Bonus </t>
  </si>
  <si>
    <t xml:space="preserve">Depatment </t>
  </si>
  <si>
    <t xml:space="preserve">Salary </t>
  </si>
  <si>
    <t xml:space="preserve">Total  Salary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</si>
</sst>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2"/>
          <c:order val="2"/>
          <c:tx>
            <c:strRef>
              <c:f>Sheet1!$R$2</c:f>
              <c:strCache>
                <c:ptCount val="1"/>
                <c:pt idx="0">
                  <c:v>Total  Salary 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Sheet1!$O$3:$O$7</c:f>
              <c:strCache>
                <c:ptCount val="5"/>
                <c:pt idx="0">
                  <c:v>IT</c:v>
                </c:pt>
                <c:pt idx="1">
                  <c:v>HR</c:v>
                </c:pt>
                <c:pt idx="2">
                  <c:v>Sales</c:v>
                </c:pt>
                <c:pt idx="3">
                  <c:v>Finance</c:v>
                </c:pt>
                <c:pt idx="4">
                  <c:v>Marketing</c:v>
                </c:pt>
              </c:strCache>
            </c:strRef>
          </c:cat>
          <c:val>
            <c:numRef>
              <c:f>Sheet1!$R$3:$R$7</c:f>
              <c:numCache>
                <c:formatCode>General</c:formatCode>
                <c:ptCount val="5"/>
                <c:pt idx="0">
                  <c:v>225000</c:v>
                </c:pt>
                <c:pt idx="1">
                  <c:v>87000</c:v>
                </c:pt>
                <c:pt idx="2">
                  <c:v>121000</c:v>
                </c:pt>
                <c:pt idx="3">
                  <c:v>154000</c:v>
                </c:pt>
                <c:pt idx="4">
                  <c:v>92000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03-4A29-A076-A3B36D331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Sheet1!$P$2</c15:sqref>
                        </c15:formulaRef>
                      </c:ext>
                    </c:extLst>
                    <c:strCache>
                      <c:ptCount val="1"/>
                      <c:pt idx="0">
                        <c:v>Salary 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cat>
                  <c:strRef>
                    <c:extLst>
                      <c:ext uri="{02D57815-91ED-43cb-92C2-25804820EDAC}">
                        <c15:formulaRef>
                          <c15:sqref>Sheet1!$O$3:$O$7</c15:sqref>
                        </c15:formulaRef>
                      </c:ext>
                    </c:extLst>
                    <c:strCache>
                      <c:ptCount val="5"/>
                      <c:pt idx="0">
                        <c:v>IT</c:v>
                      </c:pt>
                      <c:pt idx="1">
                        <c:v>HR</c:v>
                      </c:pt>
                      <c:pt idx="2">
                        <c:v>Sales</c:v>
                      </c:pt>
                      <c:pt idx="3">
                        <c:v>Finance</c:v>
                      </c:pt>
                      <c:pt idx="4">
                        <c:v>Marketing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Sheet1!$P$3:$P$7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195000</c:v>
                      </c:pt>
                      <c:pt idx="1">
                        <c:v>72000</c:v>
                      </c:pt>
                      <c:pt idx="2">
                        <c:v>100000</c:v>
                      </c:pt>
                      <c:pt idx="3">
                        <c:v>144000</c:v>
                      </c:pt>
                      <c:pt idx="4">
                        <c:v>81000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5D03-4A29-A076-A3B36D33132A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Sheet1!$Q$2</c15:sqref>
                        </c15:formulaRef>
                      </c:ext>
                    </c:extLst>
                    <c:strCache>
                      <c:ptCount val="1"/>
                      <c:pt idx="0">
                        <c:v>Bonus 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Sheet1!$O$3:$O$7</c15:sqref>
                        </c15:formulaRef>
                      </c:ext>
                    </c:extLst>
                    <c:strCache>
                      <c:ptCount val="5"/>
                      <c:pt idx="0">
                        <c:v>IT</c:v>
                      </c:pt>
                      <c:pt idx="1">
                        <c:v>HR</c:v>
                      </c:pt>
                      <c:pt idx="2">
                        <c:v>Sales</c:v>
                      </c:pt>
                      <c:pt idx="3">
                        <c:v>Finance</c:v>
                      </c:pt>
                      <c:pt idx="4">
                        <c:v>Marketing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Sheet1!$Q$3:$Q$7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30000</c:v>
                      </c:pt>
                      <c:pt idx="1">
                        <c:v>15000</c:v>
                      </c:pt>
                      <c:pt idx="2">
                        <c:v>21000</c:v>
                      </c:pt>
                      <c:pt idx="3">
                        <c:v>10000</c:v>
                      </c:pt>
                      <c:pt idx="4">
                        <c:v>11000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5D03-4A29-A076-A3B36D33132A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121920</xdr:colOff>
      <xdr:row>8</xdr:row>
      <xdr:rowOff>68580</xdr:rowOff>
    </xdr:from>
    <xdr:to>
      <xdr:col>18</xdr:col>
      <xdr:colOff>502920</xdr:colOff>
      <xdr:row>19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811BFB-651C-E4B9-7E2E-24E9C21812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9B7E1-83CE-4694-B97D-971D0AAA4A10}">
  <dimension ref="A1:R26"/>
  <sheetViews>
    <sheetView tabSelected="1" topLeftCell="E1" workbookViewId="0">
      <selection activeCell="R21" sqref="R21"/>
    </sheetView>
  </sheetViews>
  <sheetFormatPr defaultRowHeight="14.4" x14ac:dyDescent="0.3"/>
  <cols>
    <col min="1" max="1" width="13.21875" customWidth="1"/>
    <col min="2" max="2" width="12.88671875" customWidth="1"/>
    <col min="3" max="3" width="14.88671875" customWidth="1"/>
    <col min="4" max="4" width="13.77734375" customWidth="1"/>
    <col min="5" max="5" width="20.21875" customWidth="1"/>
    <col min="7" max="7" width="13.6640625" customWidth="1"/>
    <col min="8" max="9" width="14.88671875" customWidth="1"/>
    <col min="10" max="10" width="16.33203125" customWidth="1"/>
    <col min="11" max="11" width="11.33203125" customWidth="1"/>
    <col min="12" max="12" width="12" customWidth="1"/>
    <col min="14" max="14" width="3.77734375" customWidth="1"/>
    <col min="15" max="15" width="14.6640625" customWidth="1"/>
    <col min="16" max="16" width="9.21875" customWidth="1"/>
    <col min="18" max="18" width="13.88671875" customWidth="1"/>
  </cols>
  <sheetData>
    <row r="1" spans="1:18" ht="28.8" x14ac:dyDescent="0.3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H1" s="1" t="s">
        <v>30</v>
      </c>
      <c r="I1" s="1" t="s">
        <v>76</v>
      </c>
      <c r="J1" s="1" t="s">
        <v>77</v>
      </c>
      <c r="K1" s="1" t="s">
        <v>78</v>
      </c>
      <c r="L1" s="1" t="s">
        <v>79</v>
      </c>
      <c r="O1" s="7" t="s">
        <v>94</v>
      </c>
      <c r="P1" s="7"/>
    </row>
    <row r="2" spans="1:18" x14ac:dyDescent="0.3">
      <c r="A2" s="2" t="s">
        <v>35</v>
      </c>
      <c r="B2" s="2" t="s">
        <v>36</v>
      </c>
      <c r="C2" s="2" t="s">
        <v>37</v>
      </c>
      <c r="D2" s="2" t="s">
        <v>38</v>
      </c>
      <c r="E2" s="2">
        <v>2</v>
      </c>
      <c r="H2" s="2" t="s">
        <v>35</v>
      </c>
      <c r="I2" s="2">
        <v>32000</v>
      </c>
      <c r="J2" s="2">
        <v>5000</v>
      </c>
      <c r="K2" s="2">
        <v>4</v>
      </c>
      <c r="L2" s="2" t="s">
        <v>80</v>
      </c>
      <c r="O2" s="6" t="s">
        <v>96</v>
      </c>
      <c r="P2" s="6" t="s">
        <v>97</v>
      </c>
      <c r="Q2" s="6" t="s">
        <v>95</v>
      </c>
      <c r="R2" s="6" t="s">
        <v>98</v>
      </c>
    </row>
    <row r="3" spans="1:18" x14ac:dyDescent="0.3">
      <c r="A3" s="2" t="s">
        <v>39</v>
      </c>
      <c r="B3" s="2" t="s">
        <v>40</v>
      </c>
      <c r="C3" s="2" t="s">
        <v>41</v>
      </c>
      <c r="D3" s="2" t="s">
        <v>42</v>
      </c>
      <c r="E3" s="2">
        <v>4</v>
      </c>
      <c r="H3" s="2" t="s">
        <v>39</v>
      </c>
      <c r="I3" s="2">
        <v>45000</v>
      </c>
      <c r="J3" s="2">
        <v>8000</v>
      </c>
      <c r="K3" s="2">
        <v>5</v>
      </c>
      <c r="L3" s="2" t="s">
        <v>80</v>
      </c>
      <c r="O3" t="str" cm="1">
        <f t="array" ref="O3:O7">_xlfn.UNIQUE(C2:C16)</f>
        <v>IT</v>
      </c>
      <c r="P3">
        <f>SUMIF($C$2:$C$16,O3,$I$2:$I$16)</f>
        <v>195000</v>
      </c>
      <c r="Q3">
        <f ca="1">SUMIF($C$1:$C$16,O3,$J$2:$J$16)</f>
        <v>30000</v>
      </c>
      <c r="R3">
        <f ca="1">P3 + Q3</f>
        <v>225000</v>
      </c>
    </row>
    <row r="4" spans="1:18" x14ac:dyDescent="0.3">
      <c r="A4" s="2" t="s">
        <v>43</v>
      </c>
      <c r="B4" s="2" t="s">
        <v>44</v>
      </c>
      <c r="C4" s="2" t="s">
        <v>45</v>
      </c>
      <c r="D4" s="2" t="s">
        <v>46</v>
      </c>
      <c r="E4" s="2">
        <v>3</v>
      </c>
      <c r="H4" s="2" t="s">
        <v>43</v>
      </c>
      <c r="I4" s="2">
        <v>28000</v>
      </c>
      <c r="J4" s="2">
        <v>3000</v>
      </c>
      <c r="K4" s="2">
        <v>3</v>
      </c>
      <c r="L4" s="2" t="s">
        <v>80</v>
      </c>
      <c r="O4" t="str">
        <v>HR</v>
      </c>
      <c r="P4">
        <f t="shared" ref="P4:P7" si="0">SUMIF($C$2:$C$16,O4,$I$2:$I$16)</f>
        <v>72000</v>
      </c>
      <c r="Q4">
        <f t="shared" ref="Q4:Q7" ca="1" si="1">SUMIF($C$1:$C$16,O4,$J$2:$J$16)</f>
        <v>15000</v>
      </c>
      <c r="R4">
        <f t="shared" ref="R4:R7" ca="1" si="2">P4 + Q4</f>
        <v>87000</v>
      </c>
    </row>
    <row r="5" spans="1:18" x14ac:dyDescent="0.3">
      <c r="A5" s="2" t="s">
        <v>47</v>
      </c>
      <c r="B5" s="2" t="s">
        <v>48</v>
      </c>
      <c r="C5" s="2" t="s">
        <v>49</v>
      </c>
      <c r="D5" s="2" t="s">
        <v>50</v>
      </c>
      <c r="E5" s="2">
        <v>5</v>
      </c>
      <c r="H5" s="2" t="s">
        <v>47</v>
      </c>
      <c r="I5" s="2">
        <v>55000</v>
      </c>
      <c r="J5" s="2">
        <v>10000</v>
      </c>
      <c r="K5" s="2">
        <v>5</v>
      </c>
      <c r="L5" s="2" t="s">
        <v>80</v>
      </c>
      <c r="O5" t="str">
        <v>Sales</v>
      </c>
      <c r="P5">
        <f t="shared" si="0"/>
        <v>100000</v>
      </c>
      <c r="Q5">
        <f t="shared" ca="1" si="1"/>
        <v>21000</v>
      </c>
      <c r="R5">
        <f t="shared" ca="1" si="2"/>
        <v>121000</v>
      </c>
    </row>
    <row r="6" spans="1:18" x14ac:dyDescent="0.3">
      <c r="A6" s="2" t="s">
        <v>51</v>
      </c>
      <c r="B6" s="2" t="s">
        <v>52</v>
      </c>
      <c r="C6" s="2" t="s">
        <v>37</v>
      </c>
      <c r="D6" s="2" t="s">
        <v>53</v>
      </c>
      <c r="E6" s="2">
        <v>1</v>
      </c>
      <c r="H6" s="2" t="s">
        <v>51</v>
      </c>
      <c r="I6" s="2">
        <v>25000</v>
      </c>
      <c r="J6" s="2">
        <v>2000</v>
      </c>
      <c r="K6" s="2">
        <v>3</v>
      </c>
      <c r="L6" s="2" t="s">
        <v>80</v>
      </c>
      <c r="O6" t="str">
        <v>Finance</v>
      </c>
      <c r="P6">
        <f t="shared" si="0"/>
        <v>144000</v>
      </c>
      <c r="Q6">
        <f t="shared" ca="1" si="1"/>
        <v>10000</v>
      </c>
      <c r="R6">
        <f t="shared" ca="1" si="2"/>
        <v>154000</v>
      </c>
    </row>
    <row r="7" spans="1:18" x14ac:dyDescent="0.3">
      <c r="A7" s="2" t="s">
        <v>54</v>
      </c>
      <c r="B7" s="2" t="s">
        <v>55</v>
      </c>
      <c r="C7" s="2" t="s">
        <v>56</v>
      </c>
      <c r="D7" s="2" t="s">
        <v>57</v>
      </c>
      <c r="E7" s="2">
        <v>6</v>
      </c>
      <c r="H7" s="2" t="s">
        <v>54</v>
      </c>
      <c r="I7" s="2">
        <v>48000</v>
      </c>
      <c r="J7" s="2">
        <v>9000</v>
      </c>
      <c r="K7" s="2">
        <v>4</v>
      </c>
      <c r="L7" s="2" t="s">
        <v>80</v>
      </c>
      <c r="O7" t="str">
        <v>Marketing</v>
      </c>
      <c r="P7">
        <f t="shared" si="0"/>
        <v>81000</v>
      </c>
      <c r="Q7">
        <f t="shared" ca="1" si="1"/>
        <v>11000</v>
      </c>
      <c r="R7">
        <f t="shared" ca="1" si="2"/>
        <v>92000</v>
      </c>
    </row>
    <row r="8" spans="1:18" x14ac:dyDescent="0.3">
      <c r="A8" s="2" t="s">
        <v>58</v>
      </c>
      <c r="B8" s="2" t="s">
        <v>59</v>
      </c>
      <c r="C8" s="2" t="s">
        <v>45</v>
      </c>
      <c r="D8" s="2" t="s">
        <v>38</v>
      </c>
      <c r="E8" s="2">
        <v>2</v>
      </c>
      <c r="H8" s="2" t="s">
        <v>58</v>
      </c>
      <c r="I8" s="2">
        <v>30000</v>
      </c>
      <c r="J8" s="2">
        <v>4000</v>
      </c>
      <c r="K8" s="2">
        <v>4</v>
      </c>
      <c r="L8" s="2" t="s">
        <v>80</v>
      </c>
    </row>
    <row r="9" spans="1:18" x14ac:dyDescent="0.3">
      <c r="A9" s="2" t="s">
        <v>60</v>
      </c>
      <c r="B9" s="2" t="s">
        <v>61</v>
      </c>
      <c r="C9" s="2" t="s">
        <v>37</v>
      </c>
      <c r="D9" s="2" t="s">
        <v>42</v>
      </c>
      <c r="E9" s="2">
        <v>3</v>
      </c>
      <c r="H9" s="2" t="s">
        <v>60</v>
      </c>
      <c r="I9" s="2">
        <v>35000</v>
      </c>
      <c r="J9" s="2">
        <v>5000</v>
      </c>
      <c r="K9" s="2">
        <v>4</v>
      </c>
      <c r="L9" s="2" t="s">
        <v>80</v>
      </c>
    </row>
    <row r="10" spans="1:18" x14ac:dyDescent="0.3">
      <c r="A10" s="2" t="s">
        <v>62</v>
      </c>
      <c r="B10" s="2" t="s">
        <v>63</v>
      </c>
      <c r="C10" s="2" t="s">
        <v>49</v>
      </c>
      <c r="D10" s="2" t="s">
        <v>46</v>
      </c>
      <c r="E10" s="2">
        <v>4</v>
      </c>
      <c r="H10" s="2" t="s">
        <v>62</v>
      </c>
      <c r="I10" s="2">
        <v>50000</v>
      </c>
      <c r="J10" s="2">
        <v>8500</v>
      </c>
      <c r="K10" s="2">
        <v>5</v>
      </c>
      <c r="L10" s="2" t="s">
        <v>80</v>
      </c>
    </row>
    <row r="11" spans="1:18" x14ac:dyDescent="0.3">
      <c r="A11" s="2" t="s">
        <v>64</v>
      </c>
      <c r="B11" s="2" t="s">
        <v>65</v>
      </c>
      <c r="C11" s="2" t="s">
        <v>41</v>
      </c>
      <c r="D11" s="2" t="s">
        <v>50</v>
      </c>
      <c r="E11" s="2">
        <v>1</v>
      </c>
      <c r="H11" s="2" t="s">
        <v>64</v>
      </c>
      <c r="I11" s="2">
        <v>27000</v>
      </c>
      <c r="J11" s="2">
        <v>2500</v>
      </c>
      <c r="K11" s="2">
        <v>3</v>
      </c>
      <c r="L11" s="2" t="s">
        <v>81</v>
      </c>
    </row>
    <row r="12" spans="1:18" x14ac:dyDescent="0.3">
      <c r="A12" s="2" t="s">
        <v>66</v>
      </c>
      <c r="B12" s="2" t="s">
        <v>67</v>
      </c>
      <c r="C12" s="2" t="s">
        <v>37</v>
      </c>
      <c r="D12" s="2" t="s">
        <v>57</v>
      </c>
      <c r="E12" s="2">
        <v>7</v>
      </c>
      <c r="H12" s="2" t="s">
        <v>66</v>
      </c>
      <c r="I12" s="2">
        <v>65000</v>
      </c>
      <c r="J12" s="2">
        <v>12000</v>
      </c>
      <c r="K12" s="2">
        <v>5</v>
      </c>
      <c r="L12" s="2" t="s">
        <v>80</v>
      </c>
    </row>
    <row r="13" spans="1:18" x14ac:dyDescent="0.3">
      <c r="A13" s="2" t="s">
        <v>68</v>
      </c>
      <c r="B13" s="2" t="s">
        <v>69</v>
      </c>
      <c r="C13" s="2" t="s">
        <v>56</v>
      </c>
      <c r="D13" s="2" t="s">
        <v>53</v>
      </c>
      <c r="E13" s="2">
        <v>2</v>
      </c>
      <c r="H13" s="2" t="s">
        <v>68</v>
      </c>
      <c r="I13" s="2">
        <v>33000</v>
      </c>
      <c r="J13" s="2">
        <v>4500</v>
      </c>
      <c r="K13" s="2">
        <v>4</v>
      </c>
      <c r="L13" s="2" t="s">
        <v>80</v>
      </c>
    </row>
    <row r="14" spans="1:18" x14ac:dyDescent="0.3">
      <c r="A14" s="2" t="s">
        <v>70</v>
      </c>
      <c r="B14" s="2" t="s">
        <v>71</v>
      </c>
      <c r="C14" s="2" t="s">
        <v>45</v>
      </c>
      <c r="D14" s="2" t="s">
        <v>50</v>
      </c>
      <c r="E14" s="2">
        <v>5</v>
      </c>
      <c r="H14" s="2" t="s">
        <v>70</v>
      </c>
      <c r="I14" s="2">
        <v>42000</v>
      </c>
      <c r="J14" s="2">
        <v>7000</v>
      </c>
      <c r="K14" s="2">
        <v>4</v>
      </c>
      <c r="L14" s="2" t="s">
        <v>80</v>
      </c>
    </row>
    <row r="15" spans="1:18" x14ac:dyDescent="0.3">
      <c r="A15" s="2" t="s">
        <v>72</v>
      </c>
      <c r="B15" s="2" t="s">
        <v>73</v>
      </c>
      <c r="C15" s="2" t="s">
        <v>49</v>
      </c>
      <c r="D15" s="2" t="s">
        <v>42</v>
      </c>
      <c r="E15" s="2">
        <v>3</v>
      </c>
      <c r="H15" s="2" t="s">
        <v>72</v>
      </c>
      <c r="I15" s="2">
        <v>39000</v>
      </c>
      <c r="J15" s="2">
        <v>6000</v>
      </c>
      <c r="K15" s="2">
        <v>3</v>
      </c>
      <c r="L15" s="2" t="s">
        <v>80</v>
      </c>
    </row>
    <row r="16" spans="1:18" x14ac:dyDescent="0.3">
      <c r="A16" s="2" t="s">
        <v>74</v>
      </c>
      <c r="B16" s="2" t="s">
        <v>75</v>
      </c>
      <c r="C16" s="2" t="s">
        <v>37</v>
      </c>
      <c r="D16" s="2" t="s">
        <v>38</v>
      </c>
      <c r="E16" s="2">
        <v>4</v>
      </c>
      <c r="H16" s="2" t="s">
        <v>74</v>
      </c>
      <c r="I16" s="2">
        <v>38000</v>
      </c>
      <c r="J16" s="2">
        <v>5500</v>
      </c>
      <c r="K16" s="2">
        <v>4</v>
      </c>
      <c r="L16" s="2" t="s">
        <v>80</v>
      </c>
    </row>
    <row r="21" spans="1:13" x14ac:dyDescent="0.3">
      <c r="A21" s="3" t="str">
        <f>_xlfn.XLOOKUP("Rahul Sharma",B2:B16,A2:A16, "Not Found ")</f>
        <v>E101</v>
      </c>
      <c r="B21" s="11" t="s">
        <v>82</v>
      </c>
      <c r="C21" s="11"/>
      <c r="D21" s="11"/>
      <c r="E21" s="11"/>
      <c r="G21" s="12" t="str">
        <f>_xlfn.XLOOKUP("E110",H2:H16,L2:L16, "No Sattus" )</f>
        <v>Inactive</v>
      </c>
      <c r="H21" s="12"/>
      <c r="I21" s="8" t="s">
        <v>88</v>
      </c>
      <c r="J21" s="9"/>
      <c r="K21" s="9"/>
      <c r="L21" s="9"/>
      <c r="M21" s="10"/>
    </row>
    <row r="22" spans="1:13" x14ac:dyDescent="0.3">
      <c r="A22" s="3" t="str">
        <f>_xlfn.XLOOKUP("E108",A2:A16,C2:C16,"Not Found" )</f>
        <v>IT</v>
      </c>
      <c r="B22" s="11" t="s">
        <v>83</v>
      </c>
      <c r="C22" s="11"/>
      <c r="D22" s="11"/>
      <c r="E22" s="11"/>
      <c r="G22" s="12" t="str">
        <f>_xlfn.XLOOKUP("E113", A2:A16,  B2:B16, "Not Found")</f>
        <v>Deepak Joshi</v>
      </c>
      <c r="H22" s="12"/>
      <c r="I22" s="8" t="s">
        <v>89</v>
      </c>
      <c r="J22" s="9"/>
      <c r="K22" s="9"/>
      <c r="L22" s="9"/>
      <c r="M22" s="10"/>
    </row>
    <row r="23" spans="1:13" x14ac:dyDescent="0.3">
      <c r="A23" s="3">
        <f>_xlfn.XLOOKUP("E111", H2:H16, I2:I16)</f>
        <v>65000</v>
      </c>
      <c r="B23" s="11" t="s">
        <v>84</v>
      </c>
      <c r="C23" s="11"/>
      <c r="D23" s="11"/>
      <c r="E23" s="11"/>
      <c r="G23" s="4" cm="1">
        <f t="array" ref="G23:H23">_xlfn.XLOOKUP("E106",H2:H16,I2:J16,"Not Found")</f>
        <v>48000</v>
      </c>
      <c r="H23" s="4">
        <v>9000</v>
      </c>
      <c r="I23" s="8" t="s">
        <v>90</v>
      </c>
      <c r="J23" s="9"/>
      <c r="K23" s="9"/>
      <c r="L23" s="9"/>
      <c r="M23" s="10"/>
    </row>
    <row r="24" spans="1:13" x14ac:dyDescent="0.3">
      <c r="A24" s="3">
        <f>_xlfn.XLOOKUP("E104", H2:H16,J2:J16, " no Bouns")</f>
        <v>10000</v>
      </c>
      <c r="B24" s="11" t="s">
        <v>85</v>
      </c>
      <c r="C24" s="11"/>
      <c r="D24" s="11"/>
      <c r="E24" s="11"/>
      <c r="G24" s="4" t="str" cm="1">
        <f t="array" ref="G24:I24">_xlfn.XLOOKUP("E101", A2:A16,C2:E16)</f>
        <v>IT</v>
      </c>
      <c r="H24" s="4" t="str">
        <v>Jabalpur</v>
      </c>
      <c r="I24" s="5">
        <v>2</v>
      </c>
      <c r="J24" s="8" t="s">
        <v>91</v>
      </c>
      <c r="K24" s="9"/>
      <c r="L24" s="9"/>
      <c r="M24" s="10"/>
    </row>
    <row r="25" spans="1:13" x14ac:dyDescent="0.3">
      <c r="A25" s="3" t="str">
        <f>_xlfn.XLOOKUP("E115", A2:A16,D2:D16,"Not Found")</f>
        <v>Jabalpur</v>
      </c>
      <c r="B25" s="11" t="s">
        <v>86</v>
      </c>
      <c r="C25" s="11"/>
      <c r="D25" s="11"/>
      <c r="E25" s="11"/>
      <c r="G25" s="12" t="str">
        <f>_xlfn.XLOOKUP("E120",H2:H16,I2:I16,"Not Found" )</f>
        <v>Not Found</v>
      </c>
      <c r="H25" s="12"/>
      <c r="I25" s="8" t="s">
        <v>92</v>
      </c>
      <c r="J25" s="9"/>
      <c r="K25" s="9"/>
      <c r="L25" s="9"/>
      <c r="M25" s="10"/>
    </row>
    <row r="26" spans="1:13" x14ac:dyDescent="0.3">
      <c r="A26" s="3">
        <f>_xlfn.XLOOKUP("E102", H2:H16,K2:K16, "No  Rating")</f>
        <v>5</v>
      </c>
      <c r="B26" s="11" t="s">
        <v>87</v>
      </c>
      <c r="C26" s="11"/>
      <c r="D26" s="11"/>
      <c r="E26" s="11"/>
      <c r="G26" s="12">
        <f>_xlfn.XLOOKUP("E109",H2:H16,I2:I16,0)</f>
        <v>50000</v>
      </c>
      <c r="H26" s="12"/>
      <c r="I26" s="8" t="s">
        <v>93</v>
      </c>
      <c r="J26" s="9"/>
      <c r="K26" s="9"/>
      <c r="L26" s="9"/>
      <c r="M26" s="10"/>
    </row>
  </sheetData>
  <mergeCells count="17">
    <mergeCell ref="B26:E26"/>
    <mergeCell ref="G21:H21"/>
    <mergeCell ref="B21:E21"/>
    <mergeCell ref="B22:E22"/>
    <mergeCell ref="B23:E23"/>
    <mergeCell ref="B24:E24"/>
    <mergeCell ref="B25:E25"/>
    <mergeCell ref="G22:H22"/>
    <mergeCell ref="G25:H25"/>
    <mergeCell ref="G26:H26"/>
    <mergeCell ref="O1:P1"/>
    <mergeCell ref="I21:M21"/>
    <mergeCell ref="I23:M23"/>
    <mergeCell ref="I25:M25"/>
    <mergeCell ref="I26:M26"/>
    <mergeCell ref="I22:M22"/>
    <mergeCell ref="J24:M2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7D2D2-0A89-48ED-9A52-986BE5D1EF1B}">
  <dimension ref="A2:L16"/>
  <sheetViews>
    <sheetView zoomScale="130" zoomScaleNormal="130" workbookViewId="0">
      <selection activeCell="N15" sqref="N15"/>
    </sheetView>
  </sheetViews>
  <sheetFormatPr defaultRowHeight="14.4" x14ac:dyDescent="0.3"/>
  <cols>
    <col min="2" max="2" width="18.5546875" customWidth="1"/>
    <col min="3" max="3" width="13.109375" customWidth="1"/>
    <col min="4" max="4" width="11.21875" customWidth="1"/>
    <col min="5" max="5" width="12.109375" customWidth="1"/>
    <col min="9" max="9" width="9.33203125" customWidth="1"/>
    <col min="10" max="10" width="11.33203125" customWidth="1"/>
  </cols>
  <sheetData>
    <row r="2" spans="1:12" x14ac:dyDescent="0.3">
      <c r="A2" t="s">
        <v>3</v>
      </c>
      <c r="B2" t="s">
        <v>0</v>
      </c>
      <c r="C2" t="s">
        <v>1</v>
      </c>
      <c r="D2" t="s">
        <v>2</v>
      </c>
      <c r="G2" t="s">
        <v>17</v>
      </c>
      <c r="H2" t="s">
        <v>0</v>
      </c>
      <c r="I2" t="s">
        <v>18</v>
      </c>
      <c r="J2" t="s">
        <v>3</v>
      </c>
    </row>
    <row r="3" spans="1:12" x14ac:dyDescent="0.3">
      <c r="A3">
        <v>50</v>
      </c>
      <c r="B3" t="s">
        <v>4</v>
      </c>
      <c r="C3" t="s">
        <v>5</v>
      </c>
      <c r="D3" t="s">
        <v>6</v>
      </c>
      <c r="G3" t="s">
        <v>19</v>
      </c>
      <c r="H3" t="s">
        <v>9</v>
      </c>
      <c r="I3">
        <v>2</v>
      </c>
      <c r="J3">
        <f>_xlfn.XLOOKUP(H3,$B$3:$B$7,$A$3:$A$7)</f>
        <v>199</v>
      </c>
    </row>
    <row r="4" spans="1:12" x14ac:dyDescent="0.3">
      <c r="A4">
        <v>10</v>
      </c>
      <c r="B4" t="s">
        <v>7</v>
      </c>
      <c r="C4" t="s">
        <v>8</v>
      </c>
      <c r="D4" t="s">
        <v>6</v>
      </c>
      <c r="G4" t="s">
        <v>20</v>
      </c>
      <c r="H4" t="s">
        <v>4</v>
      </c>
      <c r="I4">
        <v>5</v>
      </c>
      <c r="J4">
        <f t="shared" ref="J4:J6" si="0">_xlfn.XLOOKUP(H4,$B$3:$B$7,$A$3:$A$7)</f>
        <v>50</v>
      </c>
    </row>
    <row r="5" spans="1:12" x14ac:dyDescent="0.3">
      <c r="A5">
        <v>199</v>
      </c>
      <c r="B5" t="s">
        <v>9</v>
      </c>
      <c r="C5" t="s">
        <v>10</v>
      </c>
      <c r="D5" t="s">
        <v>11</v>
      </c>
      <c r="G5" t="s">
        <v>21</v>
      </c>
      <c r="H5" t="s">
        <v>12</v>
      </c>
      <c r="I5">
        <v>1</v>
      </c>
      <c r="J5">
        <f t="shared" si="0"/>
        <v>499</v>
      </c>
    </row>
    <row r="6" spans="1:12" x14ac:dyDescent="0.3">
      <c r="A6">
        <v>499</v>
      </c>
      <c r="B6" t="s">
        <v>12</v>
      </c>
      <c r="C6" t="s">
        <v>13</v>
      </c>
      <c r="D6" t="s">
        <v>11</v>
      </c>
      <c r="G6" t="s">
        <v>22</v>
      </c>
      <c r="H6" t="s">
        <v>7</v>
      </c>
      <c r="I6">
        <v>10</v>
      </c>
      <c r="J6">
        <f t="shared" si="0"/>
        <v>10</v>
      </c>
    </row>
    <row r="7" spans="1:12" x14ac:dyDescent="0.3">
      <c r="A7">
        <v>299</v>
      </c>
      <c r="B7" t="s">
        <v>14</v>
      </c>
      <c r="C7" t="s">
        <v>15</v>
      </c>
      <c r="D7" t="s">
        <v>16</v>
      </c>
      <c r="G7" t="s">
        <v>23</v>
      </c>
      <c r="H7" t="s">
        <v>24</v>
      </c>
      <c r="I7">
        <v>1</v>
      </c>
      <c r="J7" t="str">
        <f>_xlfn.XLOOKUP(H7,$B$3:$B$7,$A$3:$A$7, "Not Found")</f>
        <v>Not Found</v>
      </c>
    </row>
    <row r="11" spans="1:12" x14ac:dyDescent="0.3">
      <c r="G11" t="s">
        <v>17</v>
      </c>
      <c r="H11" t="s">
        <v>0</v>
      </c>
      <c r="I11" t="s">
        <v>18</v>
      </c>
      <c r="J11" t="s">
        <v>3</v>
      </c>
      <c r="K11" t="s">
        <v>25</v>
      </c>
      <c r="L11" t="s">
        <v>26</v>
      </c>
    </row>
    <row r="12" spans="1:12" x14ac:dyDescent="0.3">
      <c r="G12" t="s">
        <v>19</v>
      </c>
      <c r="H12" t="s">
        <v>9</v>
      </c>
      <c r="I12">
        <v>2</v>
      </c>
      <c r="J12" cm="1">
        <f t="array" ref="J12:L12">_xlfn.XLOOKUP(H12,$B$3:$B$7,$A$3:$C$7, "Not Found")</f>
        <v>199</v>
      </c>
      <c r="K12" t="str">
        <v>P1003</v>
      </c>
      <c r="L12" t="str">
        <v>USB Cable</v>
      </c>
    </row>
    <row r="13" spans="1:12" x14ac:dyDescent="0.3">
      <c r="G13" t="s">
        <v>20</v>
      </c>
      <c r="H13" t="s">
        <v>4</v>
      </c>
      <c r="I13">
        <v>5</v>
      </c>
      <c r="J13" cm="1">
        <f t="array" ref="J13:L13">_xlfn.XLOOKUP(H13,$B$3:$B$7,$A$3:$C$7, "Not Found")</f>
        <v>50</v>
      </c>
      <c r="K13" t="str">
        <v>P1001</v>
      </c>
      <c r="L13" t="str">
        <v>NoteBook</v>
      </c>
    </row>
    <row r="14" spans="1:12" x14ac:dyDescent="0.3">
      <c r="G14" t="s">
        <v>21</v>
      </c>
      <c r="H14" t="s">
        <v>12</v>
      </c>
      <c r="I14">
        <v>1</v>
      </c>
      <c r="J14" cm="1">
        <f t="array" ref="J14:L14">_xlfn.XLOOKUP(H14,$B$3:$B$7,$A$3:$C$7, "Not Found")</f>
        <v>499</v>
      </c>
      <c r="K14" t="str">
        <v>P1004</v>
      </c>
      <c r="L14" t="str">
        <v>Mouse</v>
      </c>
    </row>
    <row r="15" spans="1:12" x14ac:dyDescent="0.3">
      <c r="G15" t="s">
        <v>22</v>
      </c>
      <c r="H15" t="s">
        <v>7</v>
      </c>
      <c r="I15">
        <v>10</v>
      </c>
      <c r="J15" cm="1">
        <f t="array" ref="J15:L15">_xlfn.XLOOKUP(H15,$B$3:$B$7,$A$3:$C$7, "Not Found")</f>
        <v>10</v>
      </c>
      <c r="K15" t="str">
        <v>P1002</v>
      </c>
      <c r="L15" t="str">
        <v>Pen</v>
      </c>
    </row>
    <row r="16" spans="1:12" x14ac:dyDescent="0.3">
      <c r="G16" t="s">
        <v>23</v>
      </c>
      <c r="H16" t="s">
        <v>24</v>
      </c>
      <c r="I16">
        <v>1</v>
      </c>
      <c r="J16" t="str" cm="1">
        <f t="array" ref="J16">_xlfn.XLOOKUP(H16,$B$3:$B$7,$A$3:$C$7, "Not Found")</f>
        <v>Not Found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12AEF-9189-4D10-BF9F-7C7E71820B2E}">
  <dimension ref="A1:P12"/>
  <sheetViews>
    <sheetView workbookViewId="0">
      <selection activeCell="J7" sqref="J7"/>
    </sheetView>
  </sheetViews>
  <sheetFormatPr defaultRowHeight="14.4" x14ac:dyDescent="0.3"/>
  <cols>
    <col min="1" max="1" width="13.21875" customWidth="1"/>
    <col min="2" max="2" width="16.77734375" customWidth="1"/>
    <col min="3" max="3" width="13.88671875" customWidth="1"/>
    <col min="10" max="10" width="13.6640625" customWidth="1"/>
    <col min="11" max="11" width="12" customWidth="1"/>
    <col min="12" max="12" width="12.33203125" customWidth="1"/>
    <col min="13" max="13" width="13.3320312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t="s">
        <v>3</v>
      </c>
      <c r="B2" t="s">
        <v>0</v>
      </c>
      <c r="C2" t="s">
        <v>1</v>
      </c>
      <c r="D2" t="s">
        <v>2</v>
      </c>
      <c r="E2" s="2"/>
      <c r="F2" s="2"/>
      <c r="G2" t="s">
        <v>17</v>
      </c>
      <c r="H2" t="s">
        <v>0</v>
      </c>
      <c r="I2" t="s">
        <v>18</v>
      </c>
      <c r="J2" s="2" t="s">
        <v>27</v>
      </c>
      <c r="K2" t="s">
        <v>0</v>
      </c>
      <c r="L2" t="s">
        <v>1</v>
      </c>
      <c r="M2" s="2"/>
      <c r="N2" s="2"/>
      <c r="O2" s="2"/>
      <c r="P2" s="2"/>
    </row>
    <row r="3" spans="1:16" x14ac:dyDescent="0.3">
      <c r="A3">
        <v>50</v>
      </c>
      <c r="B3" t="s">
        <v>4</v>
      </c>
      <c r="C3" t="s">
        <v>5</v>
      </c>
      <c r="D3" t="s">
        <v>6</v>
      </c>
      <c r="E3" s="2"/>
      <c r="F3" s="2"/>
      <c r="G3" t="s">
        <v>19</v>
      </c>
      <c r="H3" t="s">
        <v>9</v>
      </c>
      <c r="I3">
        <v>2</v>
      </c>
      <c r="J3" s="2" cm="1">
        <f t="array" ref="J3:L3">_xlfn.XLOOKUP(H3&amp;"*",$B$3:$B$7,$A$3:$C$7, "Not Found",2)</f>
        <v>199</v>
      </c>
      <c r="K3" s="2" t="str">
        <v>P1003</v>
      </c>
      <c r="L3" s="2" t="str">
        <v>USB Cable</v>
      </c>
      <c r="M3" s="2"/>
      <c r="N3" s="2"/>
      <c r="O3" s="2"/>
      <c r="P3" s="2"/>
    </row>
    <row r="4" spans="1:16" x14ac:dyDescent="0.3">
      <c r="A4">
        <v>10</v>
      </c>
      <c r="B4" t="s">
        <v>28</v>
      </c>
      <c r="C4" t="s">
        <v>29</v>
      </c>
      <c r="D4" t="s">
        <v>6</v>
      </c>
      <c r="E4" s="2"/>
      <c r="F4" s="2"/>
      <c r="G4" t="s">
        <v>20</v>
      </c>
      <c r="H4" t="s">
        <v>4</v>
      </c>
      <c r="I4">
        <v>5</v>
      </c>
      <c r="J4" s="2" cm="1">
        <f t="array" ref="J4:L4">_xlfn.XLOOKUP(H4&amp;"*",$B$3:$B$7,$A$3:$C$7, "Not Found",2)</f>
        <v>50</v>
      </c>
      <c r="K4" s="2" t="str">
        <v>P1001</v>
      </c>
      <c r="L4" s="2" t="str">
        <v>NoteBook</v>
      </c>
      <c r="M4" s="2"/>
      <c r="N4" s="2"/>
      <c r="O4" s="2"/>
      <c r="P4" s="2"/>
    </row>
    <row r="5" spans="1:16" x14ac:dyDescent="0.3">
      <c r="A5">
        <v>199</v>
      </c>
      <c r="B5" t="s">
        <v>9</v>
      </c>
      <c r="C5" t="s">
        <v>10</v>
      </c>
      <c r="D5" t="s">
        <v>11</v>
      </c>
      <c r="E5" s="2"/>
      <c r="F5" s="2"/>
      <c r="G5" t="s">
        <v>21</v>
      </c>
      <c r="H5" t="s">
        <v>12</v>
      </c>
      <c r="I5">
        <v>1</v>
      </c>
      <c r="J5" s="2" cm="1">
        <f t="array" ref="J5:L5">_xlfn.XLOOKUP(H5&amp;"*",$B$3:$B$7,$A$3:$C$7, "Not Found",2)</f>
        <v>499</v>
      </c>
      <c r="K5" s="2" t="str">
        <v>P1004</v>
      </c>
      <c r="L5" s="2" t="str">
        <v>Mouse</v>
      </c>
      <c r="M5" s="2"/>
      <c r="N5" s="2"/>
      <c r="O5" s="2"/>
      <c r="P5" s="2"/>
    </row>
    <row r="6" spans="1:16" x14ac:dyDescent="0.3">
      <c r="A6">
        <v>499</v>
      </c>
      <c r="B6" t="s">
        <v>12</v>
      </c>
      <c r="C6" t="s">
        <v>13</v>
      </c>
      <c r="D6" t="s">
        <v>11</v>
      </c>
      <c r="E6" s="2"/>
      <c r="F6" s="2"/>
      <c r="G6" t="s">
        <v>22</v>
      </c>
      <c r="H6" t="s">
        <v>7</v>
      </c>
      <c r="I6">
        <v>10</v>
      </c>
      <c r="J6" s="2" cm="1">
        <f t="array" ref="J6:L6">_xlfn.XLOOKUP(H6&amp;"*",$B$3:$B$7,$A$3:$C$7, "Not Found",2)</f>
        <v>10</v>
      </c>
      <c r="K6" s="2" t="str">
        <v xml:space="preserve">P1002 sales </v>
      </c>
      <c r="L6" s="2" t="str">
        <v xml:space="preserve">Pen dom </v>
      </c>
      <c r="M6" s="2"/>
      <c r="N6" s="2"/>
      <c r="O6" s="2"/>
      <c r="P6" s="2"/>
    </row>
    <row r="7" spans="1:16" x14ac:dyDescent="0.3">
      <c r="A7">
        <v>299</v>
      </c>
      <c r="B7" t="s">
        <v>14</v>
      </c>
      <c r="C7" t="s">
        <v>15</v>
      </c>
      <c r="D7" t="s">
        <v>16</v>
      </c>
      <c r="E7" s="2"/>
      <c r="F7" s="2"/>
      <c r="G7" t="s">
        <v>23</v>
      </c>
      <c r="H7" t="s">
        <v>24</v>
      </c>
      <c r="I7">
        <v>1</v>
      </c>
      <c r="J7" s="2" t="str" cm="1">
        <f t="array" ref="J7">_xlfn.XLOOKUP(H7&amp;"*",$B$3:$B$7,$A$3:$C$7, "Not Found",2)</f>
        <v>Not Found</v>
      </c>
      <c r="K7" s="2"/>
      <c r="L7" s="2"/>
      <c r="M7" s="2"/>
      <c r="N7" s="2"/>
      <c r="O7" s="2"/>
      <c r="P7" s="2"/>
    </row>
    <row r="8" spans="1:16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WildCard 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Nabeel</dc:creator>
  <cp:lastModifiedBy>Mohd Nabeel</cp:lastModifiedBy>
  <dcterms:created xsi:type="dcterms:W3CDTF">2015-06-05T18:17:20Z</dcterms:created>
  <dcterms:modified xsi:type="dcterms:W3CDTF">2026-10-14T15:52:56Z</dcterms:modified>
</cp:coreProperties>
</file>