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dn\OneDrive\Desktop\Data Analytics\"/>
    </mc:Choice>
  </mc:AlternateContent>
  <xr:revisionPtr revIDLastSave="0" documentId="13_ncr:1_{FC4EFD35-E8E1-491F-8BDA-BD67BAAB4B2E}" xr6:coauthVersionLast="47" xr6:coauthVersionMax="47" xr10:uidLastSave="{00000000-0000-0000-0000-000000000000}"/>
  <bookViews>
    <workbookView xWindow="-108" yWindow="-108" windowWidth="23256" windowHeight="12456" activeTab="9" xr2:uid="{AD62DC5F-0706-4B3D-BFFF-A3EB9BCACC7F}"/>
  </bookViews>
  <sheets>
    <sheet name="Pratice1 " sheetId="1" r:id="rId1"/>
    <sheet name="marks" sheetId="2" r:id="rId2"/>
    <sheet name="sales " sheetId="3" r:id="rId3"/>
    <sheet name="sales2" sheetId="4" r:id="rId4"/>
    <sheet name="Sheet1" sheetId="5" r:id="rId5"/>
    <sheet name="expense " sheetId="6" r:id="rId6"/>
    <sheet name="Condtotinal" sheetId="7" r:id="rId7"/>
    <sheet name="Sheet2" sheetId="8" r:id="rId8"/>
    <sheet name="Sheet3" sheetId="9" r:id="rId9"/>
    <sheet name="random Data" sheetId="10" r:id="rId10"/>
  </sheets>
  <externalReferences>
    <externalReference r:id="rId11"/>
  </externalReferences>
  <definedNames>
    <definedName name="_xlnm._FilterDatabase" localSheetId="7" hidden="1">Sheet2!$A$1:$E$53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0" l="1"/>
  <c r="F2" i="10" s="1"/>
  <c r="H12" i="9"/>
  <c r="I12" i="9"/>
  <c r="F12" i="9"/>
  <c r="G12" i="9"/>
  <c r="C12" i="9"/>
  <c r="I3" i="9"/>
  <c r="I4" i="9"/>
  <c r="I5" i="9"/>
  <c r="I6" i="9"/>
  <c r="I7" i="9"/>
  <c r="I8" i="9"/>
  <c r="I9" i="9"/>
  <c r="I10" i="9"/>
  <c r="I11" i="9"/>
  <c r="I2" i="9"/>
  <c r="H3" i="9"/>
  <c r="H4" i="9"/>
  <c r="H5" i="9"/>
  <c r="H6" i="9"/>
  <c r="H7" i="9"/>
  <c r="H8" i="9"/>
  <c r="H9" i="9"/>
  <c r="H10" i="9"/>
  <c r="H11" i="9"/>
  <c r="H2" i="9"/>
  <c r="G3" i="9"/>
  <c r="G4" i="9"/>
  <c r="G5" i="9"/>
  <c r="G6" i="9"/>
  <c r="G7" i="9"/>
  <c r="G8" i="9"/>
  <c r="G9" i="9"/>
  <c r="G10" i="9"/>
  <c r="G11" i="9"/>
  <c r="G2" i="9"/>
  <c r="G3" i="4"/>
  <c r="F3" i="9"/>
  <c r="F4" i="9"/>
  <c r="F5" i="9"/>
  <c r="F6" i="9"/>
  <c r="F7" i="9"/>
  <c r="F8" i="9"/>
  <c r="F9" i="9"/>
  <c r="F10" i="9"/>
  <c r="F11" i="9"/>
  <c r="F2" i="9"/>
  <c r="H3" i="7"/>
  <c r="H4" i="7"/>
  <c r="H5" i="7"/>
  <c r="H6" i="7"/>
  <c r="H7" i="7"/>
  <c r="H8" i="7"/>
  <c r="H9" i="7"/>
  <c r="H10" i="7"/>
  <c r="I10" i="7" s="1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I3" i="7"/>
  <c r="I4" i="7"/>
  <c r="I5" i="7"/>
  <c r="I6" i="7"/>
  <c r="I7" i="7"/>
  <c r="I8" i="7"/>
  <c r="I9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2" i="7"/>
  <c r="H2" i="7"/>
  <c r="H3" i="6"/>
  <c r="H4" i="6"/>
  <c r="H5" i="6"/>
  <c r="H6" i="6"/>
  <c r="H7" i="6"/>
  <c r="H8" i="6"/>
  <c r="H9" i="6"/>
  <c r="H10" i="6"/>
  <c r="H11" i="6"/>
  <c r="H2" i="6"/>
  <c r="G3" i="6"/>
  <c r="G4" i="6"/>
  <c r="G5" i="6"/>
  <c r="G6" i="6"/>
  <c r="G7" i="6"/>
  <c r="G8" i="6"/>
  <c r="K17" i="6" s="1"/>
  <c r="G9" i="6"/>
  <c r="G10" i="6"/>
  <c r="G11" i="6"/>
  <c r="G2" i="6"/>
  <c r="F3" i="6"/>
  <c r="F4" i="6"/>
  <c r="F5" i="6"/>
  <c r="F6" i="6"/>
  <c r="F7" i="6"/>
  <c r="F8" i="6"/>
  <c r="F9" i="6"/>
  <c r="F10" i="6"/>
  <c r="F11" i="6"/>
  <c r="F2" i="6"/>
  <c r="E2" i="6"/>
  <c r="E3" i="6"/>
  <c r="E4" i="6"/>
  <c r="E5" i="6"/>
  <c r="E6" i="6"/>
  <c r="E7" i="6"/>
  <c r="E8" i="6"/>
  <c r="E9" i="6"/>
  <c r="E10" i="6"/>
  <c r="E11" i="6"/>
  <c r="K13" i="6"/>
  <c r="K12" i="6"/>
  <c r="D16" i="5"/>
  <c r="E16" i="5"/>
  <c r="F16" i="5"/>
  <c r="C16" i="5"/>
  <c r="D15" i="5"/>
  <c r="E15" i="5"/>
  <c r="F15" i="5"/>
  <c r="C15" i="5"/>
  <c r="D14" i="5"/>
  <c r="E14" i="5"/>
  <c r="F14" i="5"/>
  <c r="C14" i="5"/>
  <c r="D13" i="5"/>
  <c r="E13" i="5"/>
  <c r="F13" i="5"/>
  <c r="C13" i="5"/>
  <c r="F12" i="5"/>
  <c r="E12" i="5"/>
  <c r="D12" i="5"/>
  <c r="C12" i="5"/>
  <c r="I11" i="4"/>
  <c r="I12" i="4"/>
  <c r="I13" i="4"/>
  <c r="I10" i="4"/>
  <c r="H11" i="4"/>
  <c r="H12" i="4"/>
  <c r="H13" i="4"/>
  <c r="H10" i="4"/>
  <c r="G11" i="4"/>
  <c r="G12" i="4"/>
  <c r="G13" i="4"/>
  <c r="G10" i="4"/>
  <c r="F11" i="4"/>
  <c r="F12" i="4"/>
  <c r="F13" i="4"/>
  <c r="F10" i="4"/>
  <c r="E11" i="4"/>
  <c r="E12" i="4"/>
  <c r="E13" i="4"/>
  <c r="E10" i="4"/>
  <c r="H6" i="4"/>
  <c r="H3" i="4"/>
  <c r="H4" i="4"/>
  <c r="H5" i="4"/>
  <c r="H2" i="4"/>
  <c r="G4" i="4"/>
  <c r="G5" i="4"/>
  <c r="G2" i="4"/>
  <c r="F3" i="4"/>
  <c r="F4" i="4"/>
  <c r="F5" i="4"/>
  <c r="F2" i="4"/>
  <c r="E3" i="4"/>
  <c r="E4" i="4"/>
  <c r="E5" i="4"/>
  <c r="E2" i="4"/>
  <c r="D3" i="4"/>
  <c r="D4" i="4"/>
  <c r="D5" i="4"/>
  <c r="D2" i="4"/>
  <c r="H16" i="3"/>
  <c r="H17" i="3"/>
  <c r="H18" i="3"/>
  <c r="H19" i="3"/>
  <c r="H20" i="3"/>
  <c r="H21" i="3"/>
  <c r="H22" i="3"/>
  <c r="H23" i="3"/>
  <c r="H24" i="3"/>
  <c r="H15" i="3"/>
  <c r="G16" i="3"/>
  <c r="G17" i="3"/>
  <c r="G18" i="3"/>
  <c r="G19" i="3"/>
  <c r="G20" i="3"/>
  <c r="G21" i="3"/>
  <c r="G22" i="3"/>
  <c r="G23" i="3"/>
  <c r="G24" i="3"/>
  <c r="G15" i="3"/>
  <c r="F8" i="3"/>
  <c r="E9" i="3"/>
  <c r="C9" i="3"/>
  <c r="D8" i="3"/>
  <c r="B9" i="3"/>
  <c r="F3" i="3"/>
  <c r="F4" i="3"/>
  <c r="F5" i="3"/>
  <c r="F6" i="3"/>
  <c r="F7" i="3"/>
  <c r="D3" i="3"/>
  <c r="D4" i="3"/>
  <c r="D5" i="3"/>
  <c r="D6" i="3"/>
  <c r="D7" i="3"/>
  <c r="F2" i="3"/>
  <c r="D2" i="3"/>
  <c r="F19" i="2"/>
  <c r="G19" i="2"/>
  <c r="H19" i="2"/>
  <c r="I19" i="2"/>
  <c r="G13" i="2"/>
  <c r="H13" i="2"/>
  <c r="I13" i="2"/>
  <c r="G14" i="2"/>
  <c r="H14" i="2"/>
  <c r="I14" i="2"/>
  <c r="G15" i="2"/>
  <c r="H15" i="2"/>
  <c r="I15" i="2"/>
  <c r="G16" i="2"/>
  <c r="H16" i="2"/>
  <c r="I16" i="2"/>
  <c r="G17" i="2"/>
  <c r="H17" i="2"/>
  <c r="I17" i="2"/>
  <c r="G18" i="2"/>
  <c r="H18" i="2"/>
  <c r="I18" i="2"/>
  <c r="F13" i="2"/>
  <c r="F14" i="2"/>
  <c r="F15" i="2"/>
  <c r="F16" i="2"/>
  <c r="F17" i="2"/>
  <c r="F18" i="2"/>
  <c r="F12" i="2"/>
  <c r="G12" i="2"/>
  <c r="H12" i="2"/>
  <c r="I12" i="2"/>
  <c r="I3" i="2"/>
  <c r="I4" i="2"/>
  <c r="I5" i="2"/>
  <c r="I6" i="2"/>
  <c r="I7" i="2"/>
  <c r="I8" i="2"/>
  <c r="I9" i="2"/>
  <c r="I10" i="2"/>
  <c r="I11" i="2"/>
  <c r="H3" i="2"/>
  <c r="H4" i="2"/>
  <c r="H5" i="2"/>
  <c r="H6" i="2"/>
  <c r="H7" i="2"/>
  <c r="H8" i="2"/>
  <c r="H9" i="2"/>
  <c r="H10" i="2"/>
  <c r="H11" i="2"/>
  <c r="H2" i="2"/>
  <c r="I2" i="2"/>
  <c r="G9" i="2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F10" i="2"/>
  <c r="G10" i="2" s="1"/>
  <c r="F11" i="2"/>
  <c r="G11" i="2" s="1"/>
  <c r="F2" i="2"/>
  <c r="G2" i="2" s="1"/>
  <c r="F7" i="1"/>
  <c r="G7" i="1" s="1"/>
  <c r="G3" i="1"/>
  <c r="G4" i="1"/>
  <c r="G5" i="1"/>
  <c r="G6" i="1"/>
  <c r="G2" i="1"/>
  <c r="F6" i="1"/>
  <c r="F3" i="1"/>
  <c r="F4" i="1"/>
  <c r="F5" i="1"/>
  <c r="F2" i="1"/>
  <c r="E6" i="10" l="1"/>
  <c r="F6" i="10" s="1"/>
  <c r="E14" i="10"/>
  <c r="F14" i="10" s="1"/>
  <c r="E13" i="10"/>
  <c r="F13" i="10" s="1"/>
  <c r="E12" i="10"/>
  <c r="F12" i="10" s="1"/>
  <c r="E18" i="10"/>
  <c r="F18" i="10" s="1"/>
  <c r="E10" i="10"/>
  <c r="F10" i="10" s="1"/>
  <c r="E21" i="10"/>
  <c r="F21" i="10" s="1"/>
  <c r="E20" i="10"/>
  <c r="F20" i="10" s="1"/>
  <c r="E19" i="10"/>
  <c r="F19" i="10" s="1"/>
  <c r="E17" i="10"/>
  <c r="F17" i="10" s="1"/>
  <c r="E9" i="10"/>
  <c r="F9" i="10" s="1"/>
  <c r="E5" i="10"/>
  <c r="F5" i="10" s="1"/>
  <c r="E4" i="10"/>
  <c r="F4" i="10" s="1"/>
  <c r="E3" i="10"/>
  <c r="F3" i="10" s="1"/>
  <c r="E16" i="10"/>
  <c r="F16" i="10" s="1"/>
  <c r="E8" i="10"/>
  <c r="F8" i="10" s="1"/>
  <c r="E11" i="10"/>
  <c r="F11" i="10" s="1"/>
  <c r="E15" i="10"/>
  <c r="F15" i="10" s="1"/>
  <c r="E7" i="10"/>
  <c r="F7" i="10" s="1"/>
  <c r="K15" i="6"/>
  <c r="K16" i="6"/>
  <c r="K14" i="6"/>
  <c r="D9" i="3"/>
  <c r="F9" i="3"/>
  <c r="L14" i="6" l="1"/>
  <c r="L16" i="6"/>
  <c r="L15" i="6"/>
  <c r="L17" i="6"/>
</calcChain>
</file>

<file path=xl/sharedStrings.xml><?xml version="1.0" encoding="utf-8"?>
<sst xmlns="http://schemas.openxmlformats.org/spreadsheetml/2006/main" count="330" uniqueCount="225">
  <si>
    <t xml:space="preserve">Name </t>
  </si>
  <si>
    <t>ML</t>
  </si>
  <si>
    <t>project M</t>
  </si>
  <si>
    <t>CN</t>
  </si>
  <si>
    <t>CD</t>
  </si>
  <si>
    <t>Tushar</t>
  </si>
  <si>
    <t>Nabeel</t>
  </si>
  <si>
    <t>Khawaja</t>
  </si>
  <si>
    <t>Geet</t>
  </si>
  <si>
    <t>Total Marks</t>
  </si>
  <si>
    <t>Ketan</t>
  </si>
  <si>
    <t xml:space="preserve">Percantage </t>
  </si>
  <si>
    <t>Shivnash</t>
  </si>
  <si>
    <t>s.no</t>
  </si>
  <si>
    <t xml:space="preserve">name </t>
  </si>
  <si>
    <t>Thushar</t>
  </si>
  <si>
    <t>Aman</t>
  </si>
  <si>
    <t>Raj</t>
  </si>
  <si>
    <t>Brjaesh</t>
  </si>
  <si>
    <t>Harry</t>
  </si>
  <si>
    <t>shubham</t>
  </si>
  <si>
    <t>aksah</t>
  </si>
  <si>
    <t>rohan</t>
  </si>
  <si>
    <t>Shivansh</t>
  </si>
  <si>
    <t>Maths Marks</t>
  </si>
  <si>
    <t>Sst Marks</t>
  </si>
  <si>
    <t>percentage</t>
  </si>
  <si>
    <t>total</t>
  </si>
  <si>
    <t>Science Marks</t>
  </si>
  <si>
    <t>Khwaja</t>
  </si>
  <si>
    <t>Brajesh</t>
  </si>
  <si>
    <t>Chetan</t>
  </si>
  <si>
    <t>Abishek</t>
  </si>
  <si>
    <t>Jatin</t>
  </si>
  <si>
    <t>Naved</t>
  </si>
  <si>
    <t>Ziad</t>
  </si>
  <si>
    <t>Mohit</t>
  </si>
  <si>
    <t>Name</t>
  </si>
  <si>
    <t xml:space="preserve">price </t>
  </si>
  <si>
    <t>total price</t>
  </si>
  <si>
    <t>profit</t>
  </si>
  <si>
    <t>total Profit</t>
  </si>
  <si>
    <t>Kybaord</t>
  </si>
  <si>
    <t>Units</t>
  </si>
  <si>
    <t>Mouse</t>
  </si>
  <si>
    <t>watch</t>
  </si>
  <si>
    <t>pen</t>
  </si>
  <si>
    <t>Buds</t>
  </si>
  <si>
    <t>cube</t>
  </si>
  <si>
    <t xml:space="preserve">Total </t>
  </si>
  <si>
    <t>car</t>
  </si>
  <si>
    <t xml:space="preserve">productId </t>
  </si>
  <si>
    <t xml:space="preserve">profit </t>
  </si>
  <si>
    <t xml:space="preserve">Total  Price </t>
  </si>
  <si>
    <t>V001</t>
  </si>
  <si>
    <t>V003</t>
  </si>
  <si>
    <t>V004</t>
  </si>
  <si>
    <t>V005</t>
  </si>
  <si>
    <t>V006</t>
  </si>
  <si>
    <t>V007</t>
  </si>
  <si>
    <t>V008</t>
  </si>
  <si>
    <t>V009</t>
  </si>
  <si>
    <t>v002</t>
  </si>
  <si>
    <t>V010</t>
  </si>
  <si>
    <t xml:space="preserve">toys </t>
  </si>
  <si>
    <t>ice ream</t>
  </si>
  <si>
    <t>chips</t>
  </si>
  <si>
    <t xml:space="preserve">chocolate </t>
  </si>
  <si>
    <t>milk</t>
  </si>
  <si>
    <t>cake</t>
  </si>
  <si>
    <t>namkeen</t>
  </si>
  <si>
    <t>bottel</t>
  </si>
  <si>
    <t>ball</t>
  </si>
  <si>
    <t>cream roll</t>
  </si>
  <si>
    <t>Toal Pofit</t>
  </si>
  <si>
    <t>units</t>
  </si>
  <si>
    <t>Toatl</t>
  </si>
  <si>
    <t xml:space="preserve">Iteam Name </t>
  </si>
  <si>
    <t>Qty</t>
  </si>
  <si>
    <t>Rate</t>
  </si>
  <si>
    <t xml:space="preserve">Taxable Amount </t>
  </si>
  <si>
    <t>GST 5%</t>
  </si>
  <si>
    <t>Total</t>
  </si>
  <si>
    <t xml:space="preserve">Keybord </t>
  </si>
  <si>
    <t>Pen Drive</t>
  </si>
  <si>
    <t>Headphone</t>
  </si>
  <si>
    <t xml:space="preserve">Discounrt 10% </t>
  </si>
  <si>
    <t>After Discout Amount</t>
  </si>
  <si>
    <t>Grand Total</t>
  </si>
  <si>
    <t xml:space="preserve">Item Name </t>
  </si>
  <si>
    <t>Cost Price</t>
  </si>
  <si>
    <t xml:space="preserve">Selling Price </t>
  </si>
  <si>
    <t xml:space="preserve">discount 10% </t>
  </si>
  <si>
    <t xml:space="preserve">Gst 5% </t>
  </si>
  <si>
    <t xml:space="preserve">Final  Total  </t>
  </si>
  <si>
    <t xml:space="preserve">Profit </t>
  </si>
  <si>
    <t>Keybord</t>
  </si>
  <si>
    <t xml:space="preserve">Mouse </t>
  </si>
  <si>
    <t xml:space="preserve">Pen Drive </t>
  </si>
  <si>
    <t>S.NO</t>
  </si>
  <si>
    <t>ml</t>
  </si>
  <si>
    <t>pro</t>
  </si>
  <si>
    <t>cn</t>
  </si>
  <si>
    <t>cd</t>
  </si>
  <si>
    <t>Rounak</t>
  </si>
  <si>
    <t>Naman</t>
  </si>
  <si>
    <t xml:space="preserve">shiavnsh </t>
  </si>
  <si>
    <t>geet</t>
  </si>
  <si>
    <t xml:space="preserve">total  </t>
  </si>
  <si>
    <t>minimum</t>
  </si>
  <si>
    <t>max</t>
  </si>
  <si>
    <t>average</t>
  </si>
  <si>
    <t>count</t>
  </si>
  <si>
    <t>Description</t>
  </si>
  <si>
    <t>Type</t>
  </si>
  <si>
    <t>Amount</t>
  </si>
  <si>
    <t>S.No</t>
  </si>
  <si>
    <t>Tea</t>
  </si>
  <si>
    <t>Snacks</t>
  </si>
  <si>
    <t>Gulab Jamun</t>
  </si>
  <si>
    <t>Lunch</t>
  </si>
  <si>
    <t>food</t>
  </si>
  <si>
    <t xml:space="preserve">Stationary </t>
  </si>
  <si>
    <t>office</t>
  </si>
  <si>
    <t>Zerodha</t>
  </si>
  <si>
    <t>investment</t>
  </si>
  <si>
    <t>Iciic</t>
  </si>
  <si>
    <t>Dinner</t>
  </si>
  <si>
    <t>fun</t>
  </si>
  <si>
    <t>Birthday</t>
  </si>
  <si>
    <t>Total for The Day</t>
  </si>
  <si>
    <t>Average Transcation Value</t>
  </si>
  <si>
    <t>food expenses</t>
  </si>
  <si>
    <t>Food</t>
  </si>
  <si>
    <t>fun expense</t>
  </si>
  <si>
    <t>Investment</t>
  </si>
  <si>
    <t>Office</t>
  </si>
  <si>
    <t>Office expen</t>
  </si>
  <si>
    <t>-</t>
  </si>
  <si>
    <t>Roll No</t>
  </si>
  <si>
    <t>Student Name</t>
  </si>
  <si>
    <t>Maths</t>
  </si>
  <si>
    <t>Physics</t>
  </si>
  <si>
    <t>Chemistry</t>
  </si>
  <si>
    <t>English</t>
  </si>
  <si>
    <t>Computer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</si>
  <si>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</si>
  <si>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</si>
  <si>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</si>
  <si>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</si>
  <si>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</si>
  <si>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</si>
  <si>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</si>
  <si>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</si>
  <si>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</si>
  <si>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</si>
  <si>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</si>
  <si>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</si>
  <si>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</si>
  <si>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</si>
  <si>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</si>
  <si>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</si>
  <si>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</si>
  <si>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</si>
  <si>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</si>
  <si>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</si>
  <si>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</si>
  <si>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</si>
  <si>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</si>
  <si>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</si>
  <si>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</si>
  <si>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</si>
  <si>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</si>
  <si>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</si>
  <si>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</si>
  <si>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</si>
  <si>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</si>
  <si>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</si>
  <si>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</si>
  <si>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</si>
  <si>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</si>
  <si>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</si>
  <si>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</si>
  <si>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</si>
  <si>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</si>
  <si>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</si>
  <si>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</si>
  <si>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</si>
  <si>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</si>
  <si>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</si>
  <si>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</si>
  <si>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</si>
  <si>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</si>
  <si>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</si>
  <si>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</si>
  <si>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</si>
  <si>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Result</t>
  </si>
  <si>
    <t>Percentage</t>
  </si>
  <si>
    <t>Date</t>
  </si>
  <si>
    <t>Credit (₹)</t>
  </si>
  <si>
    <t>Debit (₹)</t>
  </si>
  <si>
    <t>Balance (₹)</t>
  </si>
  <si>
    <t>Fiverr Earnings</t>
  </si>
  <si>
    <t>UPI / Card Expense</t>
  </si>
  <si>
    <t>Affiliate Income</t>
  </si>
  <si>
    <t>Interest Credit</t>
  </si>
  <si>
    <t>YouTube AdSense</t>
  </si>
  <si>
    <t>Client Payment</t>
  </si>
  <si>
    <t>Refund</t>
  </si>
  <si>
    <t xml:space="preserve">alt + d+ f+f </t>
  </si>
  <si>
    <t>Selling Price</t>
  </si>
  <si>
    <t>Taxable Amount</t>
  </si>
  <si>
    <t>Bottels</t>
  </si>
  <si>
    <t>Register</t>
  </si>
  <si>
    <t>pens</t>
  </si>
  <si>
    <t>Pencil Box</t>
  </si>
  <si>
    <t xml:space="preserve">Colours </t>
  </si>
  <si>
    <t>Tensis Ball</t>
  </si>
  <si>
    <t>Brush</t>
  </si>
  <si>
    <t>Dairy</t>
  </si>
  <si>
    <t>Cutter</t>
  </si>
  <si>
    <t>Toy Cars</t>
  </si>
  <si>
    <t>Chemistry Marks</t>
  </si>
  <si>
    <t>PhysicsMarks</t>
  </si>
  <si>
    <t>Percenatge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</si>
</sst>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15" x14ac:knownFonts="1">
    <font>
      <sz val="11"/>
      <color theme="1"/>
      <name val="Calibri"/>
      <family val="2"/>
      <scheme val="minor"/>
    </font>
    <font>
      <b/>
      <sz val="16"/>
      <color theme="1"/>
      <name val="Aptos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Algerian"/>
      <family val="5"/>
    </font>
    <font>
      <sz val="11"/>
      <color theme="1"/>
      <name val="Algerian"/>
      <family val="5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51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/>
    <xf numFmtId="0" fontId="8" fillId="9" borderId="1" xfId="0" applyFont="1" applyFill="1" applyBorder="1"/>
    <xf numFmtId="164" fontId="8" fillId="9" borderId="1" xfId="0" applyNumberFormat="1" applyFont="1" applyFill="1" applyBorder="1"/>
    <xf numFmtId="164" fontId="7" fillId="9" borderId="1" xfId="0" applyNumberFormat="1" applyFont="1" applyFill="1" applyBorder="1"/>
    <xf numFmtId="0" fontId="9" fillId="10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9" fillId="7" borderId="0" xfId="0" applyFont="1" applyFill="1" applyAlignment="1">
      <alignment horizontal="center"/>
    </xf>
    <xf numFmtId="164" fontId="9" fillId="7" borderId="0" xfId="0" applyNumberFormat="1" applyFont="1" applyFill="1" applyAlignment="1">
      <alignment horizontal="center"/>
    </xf>
    <xf numFmtId="0" fontId="9" fillId="10" borderId="1" xfId="0" applyFont="1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10" fillId="11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 vertical="top" wrapText="1"/>
    </xf>
    <xf numFmtId="0" fontId="0" fillId="12" borderId="1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3" fillId="0" borderId="10" xfId="0" applyFont="1" applyBorder="1"/>
    <xf numFmtId="0" fontId="10" fillId="10" borderId="1" xfId="0" applyFont="1" applyFill="1" applyBorder="1" applyAlignment="1">
      <alignment horizontal="center"/>
    </xf>
    <xf numFmtId="0" fontId="3" fillId="13" borderId="11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0" fontId="3" fillId="13" borderId="3" xfId="0" applyFont="1" applyFill="1" applyBorder="1"/>
    <xf numFmtId="0" fontId="3" fillId="13" borderId="4" xfId="0" applyFont="1" applyFill="1" applyBorder="1"/>
    <xf numFmtId="0" fontId="0" fillId="12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10" fontId="0" fillId="0" borderId="0" xfId="1" applyNumberFormat="1" applyFont="1"/>
    <xf numFmtId="14" fontId="0" fillId="0" borderId="0" xfId="0" applyNumberFormat="1"/>
    <xf numFmtId="0" fontId="3" fillId="1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44" fontId="10" fillId="5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9" fontId="14" fillId="4" borderId="1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hdn\OneDrive\Desktop\Data%20Analytics\Basic%20pratice%20Book%202.xlsx" TargetMode="External"/><Relationship Id="rId1" Type="http://schemas.openxmlformats.org/officeDocument/2006/relationships/externalLinkPath" Target="Basic%20pratice%20Book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dget"/>
      <sheetName val="Sheet1"/>
    </sheetNames>
    <sheetDataSet>
      <sheetData sheetId="0">
        <row r="2">
          <cell r="B2" t="str">
            <v>2026 Yearly Budget</v>
          </cell>
        </row>
        <row r="4">
          <cell r="C4" t="str">
            <v>January</v>
          </cell>
          <cell r="D4" t="str">
            <v>February</v>
          </cell>
          <cell r="E4" t="str">
            <v>March</v>
          </cell>
          <cell r="F4" t="str">
            <v>April</v>
          </cell>
          <cell r="G4" t="str">
            <v>May</v>
          </cell>
          <cell r="H4" t="str">
            <v>June</v>
          </cell>
          <cell r="I4" t="str">
            <v>July</v>
          </cell>
          <cell r="J4" t="str">
            <v>August</v>
          </cell>
          <cell r="K4" t="str">
            <v>September</v>
          </cell>
          <cell r="L4" t="str">
            <v>October</v>
          </cell>
          <cell r="M4" t="str">
            <v>November</v>
          </cell>
          <cell r="N4" t="str">
            <v>December</v>
          </cell>
        </row>
        <row r="5">
          <cell r="B5" t="str">
            <v>Food</v>
          </cell>
          <cell r="C5">
            <v>1164</v>
          </cell>
          <cell r="D5">
            <v>1678</v>
          </cell>
          <cell r="E5">
            <v>2092</v>
          </cell>
          <cell r="F5">
            <v>2600</v>
          </cell>
          <cell r="G5">
            <v>533</v>
          </cell>
          <cell r="H5">
            <v>564</v>
          </cell>
          <cell r="I5">
            <v>2246</v>
          </cell>
          <cell r="J5">
            <v>2601</v>
          </cell>
          <cell r="K5">
            <v>1915</v>
          </cell>
          <cell r="L5">
            <v>2271</v>
          </cell>
          <cell r="M5">
            <v>2092</v>
          </cell>
          <cell r="N5">
            <v>1799</v>
          </cell>
        </row>
        <row r="6">
          <cell r="B6" t="str">
            <v>Fast Food</v>
          </cell>
          <cell r="C6">
            <v>955</v>
          </cell>
          <cell r="D6">
            <v>1062</v>
          </cell>
          <cell r="E6">
            <v>1656</v>
          </cell>
          <cell r="F6">
            <v>1234</v>
          </cell>
          <cell r="G6">
            <v>2545</v>
          </cell>
          <cell r="H6">
            <v>1312</v>
          </cell>
          <cell r="I6">
            <v>2966</v>
          </cell>
          <cell r="J6">
            <v>2118</v>
          </cell>
          <cell r="K6">
            <v>675</v>
          </cell>
          <cell r="L6">
            <v>1010</v>
          </cell>
          <cell r="M6">
            <v>1782</v>
          </cell>
          <cell r="N6">
            <v>2186</v>
          </cell>
        </row>
        <row r="7">
          <cell r="B7" t="str">
            <v>Rent</v>
          </cell>
          <cell r="C7">
            <v>559</v>
          </cell>
          <cell r="D7">
            <v>2315</v>
          </cell>
          <cell r="E7">
            <v>2417</v>
          </cell>
          <cell r="F7">
            <v>687</v>
          </cell>
          <cell r="G7">
            <v>1085</v>
          </cell>
          <cell r="H7">
            <v>2906</v>
          </cell>
          <cell r="I7">
            <v>572</v>
          </cell>
          <cell r="J7">
            <v>2809</v>
          </cell>
          <cell r="K7">
            <v>1366</v>
          </cell>
          <cell r="L7">
            <v>2842</v>
          </cell>
          <cell r="M7">
            <v>2199</v>
          </cell>
          <cell r="N7">
            <v>554</v>
          </cell>
        </row>
        <row r="8">
          <cell r="B8" t="str">
            <v>EMI</v>
          </cell>
          <cell r="C8">
            <v>2316</v>
          </cell>
          <cell r="D8">
            <v>1960</v>
          </cell>
          <cell r="E8">
            <v>1197</v>
          </cell>
          <cell r="F8">
            <v>1942</v>
          </cell>
          <cell r="G8">
            <v>2204</v>
          </cell>
          <cell r="H8">
            <v>1973</v>
          </cell>
          <cell r="I8">
            <v>2870</v>
          </cell>
          <cell r="J8">
            <v>640</v>
          </cell>
          <cell r="K8">
            <v>1816</v>
          </cell>
          <cell r="L8">
            <v>800</v>
          </cell>
          <cell r="M8">
            <v>594</v>
          </cell>
          <cell r="N8">
            <v>637</v>
          </cell>
        </row>
        <row r="9">
          <cell r="B9" t="str">
            <v>Investment</v>
          </cell>
          <cell r="C9">
            <v>2432</v>
          </cell>
          <cell r="D9">
            <v>1097</v>
          </cell>
          <cell r="E9">
            <v>2694</v>
          </cell>
          <cell r="F9">
            <v>2799</v>
          </cell>
          <cell r="G9">
            <v>1593</v>
          </cell>
          <cell r="H9">
            <v>976</v>
          </cell>
          <cell r="I9">
            <v>1909</v>
          </cell>
          <cell r="J9">
            <v>2158</v>
          </cell>
          <cell r="K9">
            <v>701</v>
          </cell>
          <cell r="L9">
            <v>2795</v>
          </cell>
          <cell r="M9">
            <v>1074</v>
          </cell>
          <cell r="N9">
            <v>2950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508CF-AFDF-4310-9486-036068955FEA}">
  <sheetPr>
    <tabColor theme="4" tint="0.79998168889431442"/>
  </sheetPr>
  <dimension ref="A1:G7"/>
  <sheetViews>
    <sheetView zoomScale="99" zoomScaleNormal="99" workbookViewId="0">
      <selection activeCell="C20" sqref="C20"/>
    </sheetView>
  </sheetViews>
  <sheetFormatPr defaultRowHeight="14.4" x14ac:dyDescent="0.3"/>
  <cols>
    <col min="1" max="8" width="20.44140625" customWidth="1"/>
  </cols>
  <sheetData>
    <row r="1" spans="1:7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11</v>
      </c>
    </row>
    <row r="2" spans="1:7" ht="18" x14ac:dyDescent="0.35">
      <c r="A2" s="3" t="s">
        <v>5</v>
      </c>
      <c r="B2" s="2">
        <v>34</v>
      </c>
      <c r="C2" s="2">
        <v>52</v>
      </c>
      <c r="D2" s="2">
        <v>50</v>
      </c>
      <c r="E2" s="2">
        <v>55</v>
      </c>
      <c r="F2" s="4">
        <f>B2+C2+D2+E2</f>
        <v>191</v>
      </c>
      <c r="G2" s="4">
        <f xml:space="preserve"> F2/4</f>
        <v>47.75</v>
      </c>
    </row>
    <row r="3" spans="1:7" ht="18" x14ac:dyDescent="0.35">
      <c r="A3" s="3" t="s">
        <v>6</v>
      </c>
      <c r="B3" s="2">
        <v>56</v>
      </c>
      <c r="C3" s="2">
        <v>54</v>
      </c>
      <c r="D3" s="2">
        <v>52</v>
      </c>
      <c r="E3" s="2">
        <v>56</v>
      </c>
      <c r="F3" s="4">
        <f>B3+C3+D3+E3</f>
        <v>218</v>
      </c>
      <c r="G3" s="4">
        <f t="shared" ref="G3:G7" si="0" xml:space="preserve"> F3/4</f>
        <v>54.5</v>
      </c>
    </row>
    <row r="4" spans="1:7" ht="18" x14ac:dyDescent="0.35">
      <c r="A4" s="3" t="s">
        <v>7</v>
      </c>
      <c r="B4" s="2">
        <v>54</v>
      </c>
      <c r="C4" s="2">
        <v>45</v>
      </c>
      <c r="D4" s="2">
        <v>44</v>
      </c>
      <c r="E4" s="2">
        <v>45</v>
      </c>
      <c r="F4" s="4">
        <f t="shared" ref="F4:F7" si="1">B4+C4+D4+E4</f>
        <v>188</v>
      </c>
      <c r="G4" s="4">
        <f t="shared" si="0"/>
        <v>47</v>
      </c>
    </row>
    <row r="5" spans="1:7" ht="18" x14ac:dyDescent="0.35">
      <c r="A5" s="3" t="s">
        <v>8</v>
      </c>
      <c r="B5" s="2">
        <v>40</v>
      </c>
      <c r="C5" s="2">
        <v>46</v>
      </c>
      <c r="D5" s="2">
        <v>56</v>
      </c>
      <c r="E5" s="2">
        <v>43</v>
      </c>
      <c r="F5" s="4">
        <f t="shared" si="1"/>
        <v>185</v>
      </c>
      <c r="G5" s="4">
        <f t="shared" si="0"/>
        <v>46.25</v>
      </c>
    </row>
    <row r="6" spans="1:7" ht="18" x14ac:dyDescent="0.35">
      <c r="A6" s="3" t="s">
        <v>10</v>
      </c>
      <c r="B6" s="2">
        <v>45</v>
      </c>
      <c r="C6" s="2">
        <v>53</v>
      </c>
      <c r="D6" s="2">
        <v>42</v>
      </c>
      <c r="E6" s="2">
        <v>52</v>
      </c>
      <c r="F6" s="4">
        <f t="shared" si="1"/>
        <v>192</v>
      </c>
      <c r="G6" s="4">
        <f t="shared" si="0"/>
        <v>48</v>
      </c>
    </row>
    <row r="7" spans="1:7" ht="18" x14ac:dyDescent="0.35">
      <c r="A7" s="3" t="s">
        <v>12</v>
      </c>
      <c r="B7" s="2">
        <v>46</v>
      </c>
      <c r="C7" s="2">
        <v>56</v>
      </c>
      <c r="D7" s="2">
        <v>55</v>
      </c>
      <c r="E7" s="2">
        <v>48</v>
      </c>
      <c r="F7" s="4">
        <f t="shared" si="1"/>
        <v>205</v>
      </c>
      <c r="G7" s="4">
        <f t="shared" si="0"/>
        <v>51.25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5FFD-6C40-4972-B43A-FF70DC1CE9BC}">
  <sheetPr>
    <tabColor theme="5" tint="0.59999389629810485"/>
  </sheetPr>
  <dimension ref="A1:I19"/>
  <sheetViews>
    <sheetView zoomScale="131" zoomScaleNormal="131" workbookViewId="0">
      <selection activeCell="K6" sqref="K6"/>
    </sheetView>
  </sheetViews>
  <sheetFormatPr defaultRowHeight="14.4" x14ac:dyDescent="0.3"/>
  <cols>
    <col min="2" max="4" width="14.88671875" customWidth="1"/>
    <col min="6" max="6" width="11.33203125" customWidth="1"/>
    <col min="7" max="7" width="12.109375" customWidth="1"/>
    <col min="8" max="8" width="10" customWidth="1"/>
  </cols>
  <sheetData>
    <row r="1" spans="1:9" x14ac:dyDescent="0.3">
      <c r="A1" s="6" t="s">
        <v>13</v>
      </c>
      <c r="B1" s="6" t="s">
        <v>24</v>
      </c>
      <c r="C1" s="6" t="s">
        <v>28</v>
      </c>
      <c r="D1" s="6" t="s">
        <v>25</v>
      </c>
      <c r="E1" s="6" t="s">
        <v>14</v>
      </c>
      <c r="F1" s="6" t="s">
        <v>27</v>
      </c>
      <c r="G1" s="6" t="s">
        <v>26</v>
      </c>
      <c r="H1" s="6" t="s">
        <v>26</v>
      </c>
      <c r="I1" s="6" t="s">
        <v>26</v>
      </c>
    </row>
    <row r="2" spans="1:9" x14ac:dyDescent="0.3">
      <c r="A2" s="5">
        <v>1</v>
      </c>
      <c r="B2" s="5">
        <v>34</v>
      </c>
      <c r="C2" s="5">
        <v>98</v>
      </c>
      <c r="D2" s="5">
        <v>67</v>
      </c>
      <c r="E2" s="5" t="s">
        <v>10</v>
      </c>
      <c r="F2">
        <f>B2+C2+D2</f>
        <v>199</v>
      </c>
      <c r="G2">
        <f>$F2 /3</f>
        <v>66.333333333333329</v>
      </c>
      <c r="H2">
        <f t="shared" ref="H2:I17" si="0">$F2 /3</f>
        <v>66.333333333333329</v>
      </c>
      <c r="I2">
        <f t="shared" si="0"/>
        <v>66.333333333333329</v>
      </c>
    </row>
    <row r="3" spans="1:9" x14ac:dyDescent="0.3">
      <c r="A3" s="5">
        <v>2</v>
      </c>
      <c r="B3" s="5">
        <v>45</v>
      </c>
      <c r="C3" s="5">
        <v>96</v>
      </c>
      <c r="D3" s="5">
        <v>87</v>
      </c>
      <c r="E3" s="5" t="s">
        <v>15</v>
      </c>
      <c r="F3">
        <f t="shared" ref="F3:F19" si="1">B3+C3+D3</f>
        <v>228</v>
      </c>
      <c r="G3">
        <f t="shared" ref="G3:G12" si="2">F3 /3</f>
        <v>76</v>
      </c>
      <c r="H3">
        <f t="shared" si="0"/>
        <v>76</v>
      </c>
      <c r="I3">
        <f t="shared" si="0"/>
        <v>76</v>
      </c>
    </row>
    <row r="4" spans="1:9" x14ac:dyDescent="0.3">
      <c r="A4" s="5">
        <v>3</v>
      </c>
      <c r="B4" s="5">
        <v>67</v>
      </c>
      <c r="C4" s="5">
        <v>87</v>
      </c>
      <c r="D4" s="5">
        <v>62</v>
      </c>
      <c r="E4" s="5" t="s">
        <v>16</v>
      </c>
      <c r="F4">
        <f t="shared" si="1"/>
        <v>216</v>
      </c>
      <c r="G4">
        <f t="shared" si="2"/>
        <v>72</v>
      </c>
      <c r="H4">
        <f t="shared" si="0"/>
        <v>72</v>
      </c>
      <c r="I4">
        <f t="shared" si="0"/>
        <v>72</v>
      </c>
    </row>
    <row r="5" spans="1:9" x14ac:dyDescent="0.3">
      <c r="A5" s="5">
        <v>4</v>
      </c>
      <c r="B5" s="5">
        <v>54</v>
      </c>
      <c r="C5" s="5">
        <v>88</v>
      </c>
      <c r="D5" s="5">
        <v>56</v>
      </c>
      <c r="E5" s="5" t="s">
        <v>17</v>
      </c>
      <c r="F5">
        <f t="shared" si="1"/>
        <v>198</v>
      </c>
      <c r="G5">
        <f t="shared" si="2"/>
        <v>66</v>
      </c>
      <c r="H5">
        <f t="shared" si="0"/>
        <v>66</v>
      </c>
      <c r="I5">
        <f t="shared" si="0"/>
        <v>66</v>
      </c>
    </row>
    <row r="6" spans="1:9" x14ac:dyDescent="0.3">
      <c r="A6" s="5">
        <v>5</v>
      </c>
      <c r="B6" s="5">
        <v>63</v>
      </c>
      <c r="C6" s="5">
        <v>67</v>
      </c>
      <c r="D6" s="5">
        <v>67</v>
      </c>
      <c r="E6" s="5" t="s">
        <v>18</v>
      </c>
      <c r="F6">
        <f t="shared" si="1"/>
        <v>197</v>
      </c>
      <c r="G6">
        <f t="shared" si="2"/>
        <v>65.666666666666671</v>
      </c>
      <c r="H6">
        <f t="shared" si="0"/>
        <v>65.666666666666671</v>
      </c>
      <c r="I6">
        <f t="shared" si="0"/>
        <v>65.666666666666671</v>
      </c>
    </row>
    <row r="7" spans="1:9" x14ac:dyDescent="0.3">
      <c r="A7" s="5">
        <v>6</v>
      </c>
      <c r="B7" s="5">
        <v>34</v>
      </c>
      <c r="C7" s="5">
        <v>76</v>
      </c>
      <c r="D7" s="5">
        <v>88</v>
      </c>
      <c r="E7" s="5" t="s">
        <v>19</v>
      </c>
      <c r="F7">
        <f t="shared" si="1"/>
        <v>198</v>
      </c>
      <c r="G7">
        <f t="shared" si="2"/>
        <v>66</v>
      </c>
      <c r="H7">
        <f t="shared" si="0"/>
        <v>66</v>
      </c>
      <c r="I7">
        <f t="shared" si="0"/>
        <v>66</v>
      </c>
    </row>
    <row r="8" spans="1:9" x14ac:dyDescent="0.3">
      <c r="A8" s="5">
        <v>7</v>
      </c>
      <c r="B8" s="5">
        <v>45</v>
      </c>
      <c r="C8" s="5">
        <v>56</v>
      </c>
      <c r="D8" s="5">
        <v>91</v>
      </c>
      <c r="E8" s="5" t="s">
        <v>20</v>
      </c>
      <c r="F8">
        <f t="shared" si="1"/>
        <v>192</v>
      </c>
      <c r="G8">
        <f t="shared" si="2"/>
        <v>64</v>
      </c>
      <c r="H8">
        <f t="shared" si="0"/>
        <v>64</v>
      </c>
      <c r="I8">
        <f t="shared" si="0"/>
        <v>64</v>
      </c>
    </row>
    <row r="9" spans="1:9" x14ac:dyDescent="0.3">
      <c r="A9" s="5">
        <v>8</v>
      </c>
      <c r="B9" s="5">
        <v>78</v>
      </c>
      <c r="C9" s="5">
        <v>45</v>
      </c>
      <c r="D9" s="5">
        <v>90</v>
      </c>
      <c r="E9" s="5" t="s">
        <v>21</v>
      </c>
      <c r="F9">
        <f t="shared" si="1"/>
        <v>213</v>
      </c>
      <c r="G9">
        <f t="shared" si="2"/>
        <v>71</v>
      </c>
      <c r="H9">
        <f t="shared" si="0"/>
        <v>71</v>
      </c>
      <c r="I9">
        <f t="shared" si="0"/>
        <v>71</v>
      </c>
    </row>
    <row r="10" spans="1:9" x14ac:dyDescent="0.3">
      <c r="A10" s="5">
        <v>9</v>
      </c>
      <c r="B10" s="5">
        <v>87</v>
      </c>
      <c r="C10" s="5">
        <v>99</v>
      </c>
      <c r="D10" s="5">
        <v>80</v>
      </c>
      <c r="E10" s="5" t="s">
        <v>22</v>
      </c>
      <c r="F10">
        <f t="shared" si="1"/>
        <v>266</v>
      </c>
      <c r="G10">
        <f t="shared" si="2"/>
        <v>88.666666666666671</v>
      </c>
      <c r="H10">
        <f t="shared" si="0"/>
        <v>88.666666666666671</v>
      </c>
      <c r="I10">
        <f t="shared" si="0"/>
        <v>88.666666666666671</v>
      </c>
    </row>
    <row r="11" spans="1:9" x14ac:dyDescent="0.3">
      <c r="A11" s="5">
        <v>10</v>
      </c>
      <c r="B11" s="5">
        <v>76</v>
      </c>
      <c r="C11" s="5">
        <v>81</v>
      </c>
      <c r="D11" s="5">
        <v>84</v>
      </c>
      <c r="E11" s="5" t="s">
        <v>23</v>
      </c>
      <c r="F11">
        <f t="shared" si="1"/>
        <v>241</v>
      </c>
      <c r="G11">
        <f t="shared" si="2"/>
        <v>80.333333333333329</v>
      </c>
      <c r="H11">
        <f t="shared" si="0"/>
        <v>80.333333333333329</v>
      </c>
      <c r="I11">
        <f t="shared" si="0"/>
        <v>80.333333333333329</v>
      </c>
    </row>
    <row r="12" spans="1:9" x14ac:dyDescent="0.3">
      <c r="A12" s="5">
        <v>11</v>
      </c>
      <c r="B12" s="5">
        <v>45</v>
      </c>
      <c r="C12" s="5">
        <v>47</v>
      </c>
      <c r="D12" s="5">
        <v>47</v>
      </c>
      <c r="E12" s="5" t="s">
        <v>29</v>
      </c>
      <c r="F12">
        <f t="shared" si="1"/>
        <v>139</v>
      </c>
      <c r="G12">
        <f t="shared" si="2"/>
        <v>46.333333333333336</v>
      </c>
      <c r="H12">
        <f t="shared" si="0"/>
        <v>46.333333333333336</v>
      </c>
      <c r="I12">
        <f t="shared" si="0"/>
        <v>46.333333333333336</v>
      </c>
    </row>
    <row r="13" spans="1:9" x14ac:dyDescent="0.3">
      <c r="A13" s="5">
        <v>12</v>
      </c>
      <c r="B13" s="5">
        <v>56</v>
      </c>
      <c r="C13" s="5">
        <v>44</v>
      </c>
      <c r="D13" s="5">
        <v>54</v>
      </c>
      <c r="E13" s="5" t="s">
        <v>30</v>
      </c>
      <c r="F13">
        <f t="shared" si="1"/>
        <v>154</v>
      </c>
      <c r="G13">
        <f t="shared" ref="G13" si="3">F13 /3</f>
        <v>51.333333333333336</v>
      </c>
      <c r="H13">
        <f t="shared" si="0"/>
        <v>51.333333333333336</v>
      </c>
      <c r="I13">
        <f t="shared" si="0"/>
        <v>51.333333333333336</v>
      </c>
    </row>
    <row r="14" spans="1:9" x14ac:dyDescent="0.3">
      <c r="A14" s="5">
        <v>13</v>
      </c>
      <c r="B14" s="5">
        <v>45</v>
      </c>
      <c r="C14" s="5">
        <v>46</v>
      </c>
      <c r="D14" s="5">
        <v>54</v>
      </c>
      <c r="E14" s="5" t="s">
        <v>31</v>
      </c>
      <c r="F14">
        <f t="shared" si="1"/>
        <v>145</v>
      </c>
      <c r="G14">
        <f t="shared" ref="G14" si="4">F14 /3</f>
        <v>48.333333333333336</v>
      </c>
      <c r="H14">
        <f t="shared" si="0"/>
        <v>48.333333333333336</v>
      </c>
      <c r="I14">
        <f t="shared" si="0"/>
        <v>48.333333333333336</v>
      </c>
    </row>
    <row r="15" spans="1:9" x14ac:dyDescent="0.3">
      <c r="A15" s="5">
        <v>14</v>
      </c>
      <c r="B15" s="5">
        <v>44</v>
      </c>
      <c r="C15" s="5">
        <v>56</v>
      </c>
      <c r="D15" s="5">
        <v>65</v>
      </c>
      <c r="E15" s="5" t="s">
        <v>32</v>
      </c>
      <c r="F15">
        <f t="shared" si="1"/>
        <v>165</v>
      </c>
      <c r="G15">
        <f t="shared" ref="G15" si="5">F15 /3</f>
        <v>55</v>
      </c>
      <c r="H15">
        <f t="shared" si="0"/>
        <v>55</v>
      </c>
      <c r="I15">
        <f t="shared" si="0"/>
        <v>55</v>
      </c>
    </row>
    <row r="16" spans="1:9" x14ac:dyDescent="0.3">
      <c r="A16" s="5">
        <v>15</v>
      </c>
      <c r="B16" s="5">
        <v>34</v>
      </c>
      <c r="C16" s="5">
        <v>55</v>
      </c>
      <c r="D16" s="5">
        <v>78</v>
      </c>
      <c r="E16" s="5" t="s">
        <v>33</v>
      </c>
      <c r="F16">
        <f t="shared" si="1"/>
        <v>167</v>
      </c>
      <c r="G16">
        <f t="shared" ref="G16" si="6">F16 /3</f>
        <v>55.666666666666664</v>
      </c>
      <c r="H16">
        <f t="shared" si="0"/>
        <v>55.666666666666664</v>
      </c>
      <c r="I16">
        <f t="shared" si="0"/>
        <v>55.666666666666664</v>
      </c>
    </row>
    <row r="17" spans="1:9" x14ac:dyDescent="0.3">
      <c r="A17" s="5">
        <v>16</v>
      </c>
      <c r="B17" s="5">
        <v>38</v>
      </c>
      <c r="C17" s="5">
        <v>39</v>
      </c>
      <c r="D17" s="5">
        <v>67</v>
      </c>
      <c r="E17" s="5" t="s">
        <v>34</v>
      </c>
      <c r="F17">
        <f t="shared" si="1"/>
        <v>144</v>
      </c>
      <c r="G17">
        <f t="shared" ref="G17" si="7">F17 /3</f>
        <v>48</v>
      </c>
      <c r="H17">
        <f t="shared" si="0"/>
        <v>48</v>
      </c>
      <c r="I17">
        <f t="shared" si="0"/>
        <v>48</v>
      </c>
    </row>
    <row r="18" spans="1:9" x14ac:dyDescent="0.3">
      <c r="A18" s="5">
        <v>17</v>
      </c>
      <c r="B18" s="5">
        <v>40</v>
      </c>
      <c r="C18" s="5">
        <v>50</v>
      </c>
      <c r="D18" s="5">
        <v>45</v>
      </c>
      <c r="E18" s="5" t="s">
        <v>35</v>
      </c>
      <c r="F18">
        <f t="shared" si="1"/>
        <v>135</v>
      </c>
      <c r="G18">
        <f t="shared" ref="G18:G19" si="8">F18 /3</f>
        <v>45</v>
      </c>
      <c r="H18">
        <f t="shared" ref="H18:I19" si="9">$F18 /3</f>
        <v>45</v>
      </c>
      <c r="I18">
        <f t="shared" si="9"/>
        <v>45</v>
      </c>
    </row>
    <row r="19" spans="1:9" x14ac:dyDescent="0.3">
      <c r="A19" s="5">
        <v>18</v>
      </c>
      <c r="B19" s="5">
        <v>34</v>
      </c>
      <c r="C19" s="5">
        <v>34</v>
      </c>
      <c r="D19" s="5">
        <v>34</v>
      </c>
      <c r="E19" s="5" t="s">
        <v>36</v>
      </c>
      <c r="F19">
        <f t="shared" si="1"/>
        <v>102</v>
      </c>
      <c r="G19">
        <f t="shared" si="8"/>
        <v>34</v>
      </c>
      <c r="H19">
        <f t="shared" si="9"/>
        <v>34</v>
      </c>
      <c r="I19">
        <f t="shared" si="9"/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403C-5697-43E9-AEE8-C66C298B7B6B}">
  <sheetPr>
    <tabColor theme="7" tint="0.59999389629810485"/>
  </sheetPr>
  <dimension ref="A1:H25"/>
  <sheetViews>
    <sheetView zoomScale="79" zoomScaleNormal="79" workbookViewId="0">
      <selection activeCell="N20" sqref="N20"/>
    </sheetView>
  </sheetViews>
  <sheetFormatPr defaultRowHeight="14.4" x14ac:dyDescent="0.3"/>
  <cols>
    <col min="1" max="7" width="23.6640625" customWidth="1"/>
    <col min="8" max="8" width="21.21875" customWidth="1"/>
  </cols>
  <sheetData>
    <row r="1" spans="1:8" ht="33.6" customHeight="1" x14ac:dyDescent="0.3">
      <c r="A1" s="7" t="s">
        <v>37</v>
      </c>
      <c r="B1" s="7" t="s">
        <v>43</v>
      </c>
      <c r="C1" s="7" t="s">
        <v>38</v>
      </c>
      <c r="D1" s="7" t="s">
        <v>39</v>
      </c>
      <c r="E1" s="7" t="s">
        <v>40</v>
      </c>
      <c r="F1" s="7" t="s">
        <v>41</v>
      </c>
    </row>
    <row r="2" spans="1:8" ht="33.6" customHeight="1" x14ac:dyDescent="0.3">
      <c r="A2" s="8" t="s">
        <v>42</v>
      </c>
      <c r="B2" s="8">
        <v>50</v>
      </c>
      <c r="C2" s="8">
        <v>200</v>
      </c>
      <c r="D2" s="9">
        <f>B2*C2</f>
        <v>10000</v>
      </c>
      <c r="E2" s="8">
        <v>40</v>
      </c>
      <c r="F2" s="9">
        <f>B2*E2</f>
        <v>2000</v>
      </c>
    </row>
    <row r="3" spans="1:8" ht="33.6" customHeight="1" x14ac:dyDescent="0.3">
      <c r="A3" s="8" t="s">
        <v>44</v>
      </c>
      <c r="B3" s="8">
        <v>40</v>
      </c>
      <c r="C3" s="8">
        <v>200</v>
      </c>
      <c r="D3" s="9">
        <f t="shared" ref="D3:D8" si="0">B3*C3</f>
        <v>8000</v>
      </c>
      <c r="E3" s="8">
        <v>30</v>
      </c>
      <c r="F3" s="9">
        <f t="shared" ref="F3:F8" si="1">B3*E3</f>
        <v>1200</v>
      </c>
    </row>
    <row r="4" spans="1:8" ht="33.6" customHeight="1" x14ac:dyDescent="0.3">
      <c r="A4" s="8" t="s">
        <v>45</v>
      </c>
      <c r="B4" s="8">
        <v>60</v>
      </c>
      <c r="C4" s="8">
        <v>120</v>
      </c>
      <c r="D4" s="9">
        <f t="shared" si="0"/>
        <v>7200</v>
      </c>
      <c r="E4" s="8">
        <v>20</v>
      </c>
      <c r="F4" s="9">
        <f t="shared" si="1"/>
        <v>1200</v>
      </c>
    </row>
    <row r="5" spans="1:8" ht="33.6" customHeight="1" x14ac:dyDescent="0.3">
      <c r="A5" s="8" t="s">
        <v>46</v>
      </c>
      <c r="B5" s="8">
        <v>100</v>
      </c>
      <c r="C5" s="8">
        <v>10</v>
      </c>
      <c r="D5" s="9">
        <f t="shared" si="0"/>
        <v>1000</v>
      </c>
      <c r="E5" s="8">
        <v>3</v>
      </c>
      <c r="F5" s="9">
        <f t="shared" si="1"/>
        <v>300</v>
      </c>
    </row>
    <row r="6" spans="1:8" ht="33.6" customHeight="1" x14ac:dyDescent="0.3">
      <c r="A6" s="8" t="s">
        <v>47</v>
      </c>
      <c r="B6" s="8">
        <v>30</v>
      </c>
      <c r="C6" s="8">
        <v>239</v>
      </c>
      <c r="D6" s="9">
        <f t="shared" si="0"/>
        <v>7170</v>
      </c>
      <c r="E6" s="8">
        <v>29</v>
      </c>
      <c r="F6" s="9">
        <f t="shared" si="1"/>
        <v>870</v>
      </c>
    </row>
    <row r="7" spans="1:8" ht="33.6" customHeight="1" x14ac:dyDescent="0.3">
      <c r="A7" s="8" t="s">
        <v>48</v>
      </c>
      <c r="B7" s="8">
        <v>40</v>
      </c>
      <c r="C7" s="8">
        <v>40</v>
      </c>
      <c r="D7" s="9">
        <f t="shared" si="0"/>
        <v>1600</v>
      </c>
      <c r="E7" s="8">
        <v>20</v>
      </c>
      <c r="F7" s="9">
        <f t="shared" si="1"/>
        <v>800</v>
      </c>
    </row>
    <row r="8" spans="1:8" ht="33.6" customHeight="1" x14ac:dyDescent="0.3">
      <c r="A8" s="8" t="s">
        <v>50</v>
      </c>
      <c r="B8" s="8">
        <v>50</v>
      </c>
      <c r="C8" s="8">
        <v>30</v>
      </c>
      <c r="D8" s="9">
        <f t="shared" si="0"/>
        <v>1500</v>
      </c>
      <c r="E8" s="8">
        <v>5</v>
      </c>
      <c r="F8" s="9">
        <f t="shared" si="1"/>
        <v>250</v>
      </c>
    </row>
    <row r="9" spans="1:8" ht="19.8" x14ac:dyDescent="0.3">
      <c r="A9" s="7" t="s">
        <v>49</v>
      </c>
      <c r="B9" s="7">
        <f>SUM(B2:B8)</f>
        <v>370</v>
      </c>
      <c r="C9" s="7">
        <f>SUM(C2:C8)</f>
        <v>839</v>
      </c>
      <c r="D9" s="10">
        <f>SUM(D2:D8)</f>
        <v>36470</v>
      </c>
      <c r="E9" s="7">
        <f>SUM(E2:E8)</f>
        <v>147</v>
      </c>
      <c r="F9" s="10">
        <f>SUM(F2:F8)</f>
        <v>6620</v>
      </c>
    </row>
    <row r="14" spans="1:8" ht="41.4" customHeight="1" x14ac:dyDescent="0.5">
      <c r="A14" s="11" t="s">
        <v>13</v>
      </c>
      <c r="B14" s="11" t="s">
        <v>51</v>
      </c>
      <c r="C14" s="11" t="s">
        <v>37</v>
      </c>
      <c r="D14" s="11" t="s">
        <v>38</v>
      </c>
      <c r="E14" s="11" t="s">
        <v>75</v>
      </c>
      <c r="F14" s="11" t="s">
        <v>52</v>
      </c>
      <c r="G14" s="11" t="s">
        <v>53</v>
      </c>
      <c r="H14" s="11" t="s">
        <v>74</v>
      </c>
    </row>
    <row r="15" spans="1:8" ht="41.4" customHeight="1" x14ac:dyDescent="0.3">
      <c r="A15" s="12">
        <v>1</v>
      </c>
      <c r="B15" s="12" t="s">
        <v>54</v>
      </c>
      <c r="C15" s="12" t="s">
        <v>64</v>
      </c>
      <c r="D15" s="13">
        <v>40</v>
      </c>
      <c r="E15" s="12">
        <v>50</v>
      </c>
      <c r="F15" s="13">
        <v>20</v>
      </c>
      <c r="G15" s="13">
        <f xml:space="preserve"> D15 * E15</f>
        <v>2000</v>
      </c>
      <c r="H15" s="13">
        <f xml:space="preserve"> E15 *F15</f>
        <v>1000</v>
      </c>
    </row>
    <row r="16" spans="1:8" ht="41.4" customHeight="1" x14ac:dyDescent="0.3">
      <c r="A16" s="12">
        <v>2</v>
      </c>
      <c r="B16" s="12" t="s">
        <v>62</v>
      </c>
      <c r="C16" s="12" t="s">
        <v>65</v>
      </c>
      <c r="D16" s="13">
        <v>20</v>
      </c>
      <c r="E16" s="12">
        <v>100</v>
      </c>
      <c r="F16" s="13">
        <v>3</v>
      </c>
      <c r="G16" s="13">
        <f t="shared" ref="G16:G24" si="2" xml:space="preserve"> D16 * E16</f>
        <v>2000</v>
      </c>
      <c r="H16" s="13">
        <f t="shared" ref="H16:H24" si="3" xml:space="preserve"> E16 *F16</f>
        <v>300</v>
      </c>
    </row>
    <row r="17" spans="1:8" ht="41.4" customHeight="1" x14ac:dyDescent="0.3">
      <c r="A17" s="12">
        <v>3</v>
      </c>
      <c r="B17" s="12" t="s">
        <v>55</v>
      </c>
      <c r="C17" s="12" t="s">
        <v>66</v>
      </c>
      <c r="D17" s="13">
        <v>10</v>
      </c>
      <c r="E17" s="12">
        <v>60</v>
      </c>
      <c r="F17" s="13">
        <v>1.67</v>
      </c>
      <c r="G17" s="13">
        <f t="shared" si="2"/>
        <v>600</v>
      </c>
      <c r="H17" s="13">
        <f t="shared" si="3"/>
        <v>100.19999999999999</v>
      </c>
    </row>
    <row r="18" spans="1:8" ht="41.4" customHeight="1" x14ac:dyDescent="0.3">
      <c r="A18" s="12">
        <v>4</v>
      </c>
      <c r="B18" s="12" t="s">
        <v>56</v>
      </c>
      <c r="C18" s="12" t="s">
        <v>67</v>
      </c>
      <c r="D18" s="13">
        <v>10</v>
      </c>
      <c r="E18" s="12">
        <v>75</v>
      </c>
      <c r="F18" s="13">
        <v>2.4</v>
      </c>
      <c r="G18" s="13">
        <f t="shared" si="2"/>
        <v>750</v>
      </c>
      <c r="H18" s="13">
        <f t="shared" si="3"/>
        <v>180</v>
      </c>
    </row>
    <row r="19" spans="1:8" ht="41.4" customHeight="1" x14ac:dyDescent="0.3">
      <c r="A19" s="12">
        <v>5</v>
      </c>
      <c r="B19" s="12" t="s">
        <v>57</v>
      </c>
      <c r="C19" s="12" t="s">
        <v>68</v>
      </c>
      <c r="D19" s="13">
        <v>10</v>
      </c>
      <c r="E19" s="12">
        <v>30</v>
      </c>
      <c r="F19" s="13">
        <v>1</v>
      </c>
      <c r="G19" s="13">
        <f t="shared" si="2"/>
        <v>300</v>
      </c>
      <c r="H19" s="13">
        <f t="shared" si="3"/>
        <v>30</v>
      </c>
    </row>
    <row r="20" spans="1:8" ht="41.4" customHeight="1" x14ac:dyDescent="0.3">
      <c r="A20" s="12">
        <v>6</v>
      </c>
      <c r="B20" s="12" t="s">
        <v>58</v>
      </c>
      <c r="C20" s="12" t="s">
        <v>69</v>
      </c>
      <c r="D20" s="13">
        <v>20</v>
      </c>
      <c r="E20" s="12">
        <v>6</v>
      </c>
      <c r="F20" s="13">
        <v>5</v>
      </c>
      <c r="G20" s="13">
        <f t="shared" si="2"/>
        <v>120</v>
      </c>
      <c r="H20" s="13">
        <f t="shared" si="3"/>
        <v>30</v>
      </c>
    </row>
    <row r="21" spans="1:8" ht="41.4" customHeight="1" x14ac:dyDescent="0.3">
      <c r="A21" s="12">
        <v>7</v>
      </c>
      <c r="B21" s="12" t="s">
        <v>59</v>
      </c>
      <c r="C21" s="12" t="s">
        <v>70</v>
      </c>
      <c r="D21" s="13">
        <v>5</v>
      </c>
      <c r="E21" s="12">
        <v>24</v>
      </c>
      <c r="F21" s="13">
        <v>1</v>
      </c>
      <c r="G21" s="13">
        <f t="shared" si="2"/>
        <v>120</v>
      </c>
      <c r="H21" s="13">
        <f t="shared" si="3"/>
        <v>24</v>
      </c>
    </row>
    <row r="22" spans="1:8" ht="41.4" customHeight="1" x14ac:dyDescent="0.3">
      <c r="A22" s="12">
        <v>8</v>
      </c>
      <c r="B22" s="12" t="s">
        <v>60</v>
      </c>
      <c r="C22" s="12" t="s">
        <v>71</v>
      </c>
      <c r="D22" s="13">
        <v>30</v>
      </c>
      <c r="E22" s="12">
        <v>12</v>
      </c>
      <c r="F22" s="13">
        <v>5</v>
      </c>
      <c r="G22" s="13">
        <f t="shared" si="2"/>
        <v>360</v>
      </c>
      <c r="H22" s="13">
        <f t="shared" si="3"/>
        <v>60</v>
      </c>
    </row>
    <row r="23" spans="1:8" ht="41.4" customHeight="1" x14ac:dyDescent="0.3">
      <c r="A23" s="12">
        <v>9</v>
      </c>
      <c r="B23" s="12" t="s">
        <v>61</v>
      </c>
      <c r="C23" s="12" t="s">
        <v>72</v>
      </c>
      <c r="D23" s="13">
        <v>30</v>
      </c>
      <c r="E23" s="12">
        <v>12</v>
      </c>
      <c r="F23" s="13">
        <v>5</v>
      </c>
      <c r="G23" s="13">
        <f t="shared" si="2"/>
        <v>360</v>
      </c>
      <c r="H23" s="13">
        <f t="shared" si="3"/>
        <v>60</v>
      </c>
    </row>
    <row r="24" spans="1:8" ht="41.4" customHeight="1" x14ac:dyDescent="0.3">
      <c r="A24" s="12">
        <v>10</v>
      </c>
      <c r="B24" s="12" t="s">
        <v>63</v>
      </c>
      <c r="C24" s="12" t="s">
        <v>73</v>
      </c>
      <c r="D24" s="13">
        <v>5</v>
      </c>
      <c r="E24" s="12">
        <v>30</v>
      </c>
      <c r="F24" s="13">
        <v>2</v>
      </c>
      <c r="G24" s="13">
        <f t="shared" si="2"/>
        <v>150</v>
      </c>
      <c r="H24" s="13">
        <f t="shared" si="3"/>
        <v>60</v>
      </c>
    </row>
    <row r="25" spans="1:8" ht="41.4" customHeight="1" x14ac:dyDescent="0.5">
      <c r="A25" s="12"/>
      <c r="B25" s="14" t="s">
        <v>76</v>
      </c>
      <c r="C25" s="14"/>
      <c r="D25" s="14"/>
      <c r="E25" s="14">
        <v>399</v>
      </c>
      <c r="F25" s="14">
        <v>46.07</v>
      </c>
      <c r="G25" s="14">
        <v>6760</v>
      </c>
      <c r="H25" s="14">
        <v>1844.2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AAF1-0E97-435D-9033-4FD7C747F59A}">
  <dimension ref="A1:I13"/>
  <sheetViews>
    <sheetView workbookViewId="0">
      <selection activeCell="I10" sqref="I10"/>
    </sheetView>
  </sheetViews>
  <sheetFormatPr defaultRowHeight="14.4" x14ac:dyDescent="0.3"/>
  <cols>
    <col min="1" max="1" width="15" customWidth="1"/>
    <col min="2" max="2" width="7.21875" customWidth="1"/>
    <col min="3" max="3" width="12" customWidth="1"/>
    <col min="4" max="4" width="19.77734375" customWidth="1"/>
    <col min="5" max="5" width="18" customWidth="1"/>
    <col min="6" max="6" width="24" customWidth="1"/>
    <col min="7" max="8" width="15" customWidth="1"/>
  </cols>
  <sheetData>
    <row r="1" spans="1:9" ht="22.8" customHeight="1" x14ac:dyDescent="0.3">
      <c r="A1" s="15" t="s">
        <v>77</v>
      </c>
      <c r="B1" s="15" t="s">
        <v>78</v>
      </c>
      <c r="C1" s="15" t="s">
        <v>79</v>
      </c>
      <c r="D1" s="15" t="s">
        <v>80</v>
      </c>
      <c r="E1" s="15" t="s">
        <v>86</v>
      </c>
      <c r="F1" s="15" t="s">
        <v>87</v>
      </c>
      <c r="G1" s="15" t="s">
        <v>81</v>
      </c>
      <c r="H1" s="15" t="s">
        <v>82</v>
      </c>
    </row>
    <row r="2" spans="1:9" x14ac:dyDescent="0.3">
      <c r="A2" s="16" t="s">
        <v>83</v>
      </c>
      <c r="B2" s="16">
        <v>5</v>
      </c>
      <c r="C2" s="16">
        <v>200</v>
      </c>
      <c r="D2" s="16">
        <f>B2*C2</f>
        <v>1000</v>
      </c>
      <c r="E2" s="16">
        <f>D2*10%</f>
        <v>100</v>
      </c>
      <c r="F2" s="16">
        <f>D2-E2</f>
        <v>900</v>
      </c>
      <c r="G2" s="16">
        <f>F2*5%</f>
        <v>45</v>
      </c>
      <c r="H2" s="17">
        <f>F2+G2</f>
        <v>945</v>
      </c>
    </row>
    <row r="3" spans="1:9" x14ac:dyDescent="0.3">
      <c r="A3" s="16" t="s">
        <v>44</v>
      </c>
      <c r="B3" s="16">
        <v>10</v>
      </c>
      <c r="C3" s="16">
        <v>100</v>
      </c>
      <c r="D3" s="16">
        <f t="shared" ref="D3:D5" si="0">B3*C3</f>
        <v>1000</v>
      </c>
      <c r="E3" s="16">
        <f t="shared" ref="E3:E5" si="1">D3*10%</f>
        <v>100</v>
      </c>
      <c r="F3" s="16">
        <f t="shared" ref="F3:F5" si="2">D3-E3</f>
        <v>900</v>
      </c>
      <c r="G3" s="16">
        <f>F3*5%</f>
        <v>45</v>
      </c>
      <c r="H3" s="17">
        <f t="shared" ref="H3:H5" si="3">F3+G3</f>
        <v>945</v>
      </c>
    </row>
    <row r="4" spans="1:9" x14ac:dyDescent="0.3">
      <c r="A4" s="16" t="s">
        <v>84</v>
      </c>
      <c r="B4" s="16">
        <v>8</v>
      </c>
      <c r="C4" s="16">
        <v>500</v>
      </c>
      <c r="D4" s="16">
        <f t="shared" si="0"/>
        <v>4000</v>
      </c>
      <c r="E4" s="16">
        <f t="shared" si="1"/>
        <v>400</v>
      </c>
      <c r="F4" s="16">
        <f t="shared" si="2"/>
        <v>3600</v>
      </c>
      <c r="G4" s="16">
        <f t="shared" ref="G4:G5" si="4">F4*5%</f>
        <v>180</v>
      </c>
      <c r="H4" s="17">
        <f t="shared" si="3"/>
        <v>3780</v>
      </c>
    </row>
    <row r="5" spans="1:9" x14ac:dyDescent="0.3">
      <c r="A5" s="16" t="s">
        <v>85</v>
      </c>
      <c r="B5" s="16">
        <v>3</v>
      </c>
      <c r="C5" s="16">
        <v>800</v>
      </c>
      <c r="D5" s="16">
        <f t="shared" si="0"/>
        <v>2400</v>
      </c>
      <c r="E5" s="16">
        <f t="shared" si="1"/>
        <v>240</v>
      </c>
      <c r="F5" s="16">
        <f t="shared" si="2"/>
        <v>2160</v>
      </c>
      <c r="G5" s="16">
        <f t="shared" si="4"/>
        <v>108</v>
      </c>
      <c r="H5" s="17">
        <f t="shared" si="3"/>
        <v>2268</v>
      </c>
    </row>
    <row r="6" spans="1:9" ht="18" x14ac:dyDescent="0.35">
      <c r="A6" s="18" t="s">
        <v>88</v>
      </c>
      <c r="B6" s="18">
        <v>26</v>
      </c>
      <c r="C6" s="18">
        <v>1600</v>
      </c>
      <c r="D6" s="18">
        <v>8400</v>
      </c>
      <c r="E6" s="18">
        <v>840</v>
      </c>
      <c r="F6" s="18">
        <v>7560</v>
      </c>
      <c r="G6" s="18">
        <v>378</v>
      </c>
      <c r="H6" s="19">
        <f>SUM(H2:H5)</f>
        <v>7938</v>
      </c>
    </row>
    <row r="9" spans="1:9" ht="18" x14ac:dyDescent="0.35">
      <c r="A9" s="20" t="s">
        <v>89</v>
      </c>
      <c r="B9" s="20" t="s">
        <v>78</v>
      </c>
      <c r="C9" s="20" t="s">
        <v>90</v>
      </c>
      <c r="D9" s="20" t="s">
        <v>91</v>
      </c>
      <c r="E9" s="20" t="s">
        <v>80</v>
      </c>
      <c r="F9" s="20" t="s">
        <v>92</v>
      </c>
      <c r="G9" s="20" t="s">
        <v>93</v>
      </c>
      <c r="H9" s="20" t="s">
        <v>94</v>
      </c>
      <c r="I9" s="20" t="s">
        <v>95</v>
      </c>
    </row>
    <row r="10" spans="1:9" x14ac:dyDescent="0.3">
      <c r="A10" s="22" t="s">
        <v>96</v>
      </c>
      <c r="B10" s="22">
        <v>5</v>
      </c>
      <c r="C10" s="22">
        <v>160</v>
      </c>
      <c r="D10" s="21">
        <v>200</v>
      </c>
      <c r="E10" s="21">
        <f xml:space="preserve"> B10  * D10</f>
        <v>1000</v>
      </c>
      <c r="F10" s="21">
        <f>E10 * 10%</f>
        <v>100</v>
      </c>
      <c r="G10" s="21">
        <f>(E10-F10) * 5%</f>
        <v>45</v>
      </c>
      <c r="H10" s="21">
        <f>(E10-F10)+G10</f>
        <v>945</v>
      </c>
      <c r="I10" s="21">
        <f>(D10-C10)*B10</f>
        <v>200</v>
      </c>
    </row>
    <row r="11" spans="1:9" x14ac:dyDescent="0.3">
      <c r="A11" s="22" t="s">
        <v>97</v>
      </c>
      <c r="B11" s="22">
        <v>10</v>
      </c>
      <c r="C11" s="22">
        <v>80</v>
      </c>
      <c r="D11" s="21">
        <v>100</v>
      </c>
      <c r="E11" s="21">
        <f t="shared" ref="E11:E13" si="5" xml:space="preserve"> B11  * D11</f>
        <v>1000</v>
      </c>
      <c r="F11" s="21">
        <f t="shared" ref="F11:F13" si="6">E11 * 10%</f>
        <v>100</v>
      </c>
      <c r="G11" s="21">
        <f t="shared" ref="G11:G13" si="7">(E11-F11) * 5%</f>
        <v>45</v>
      </c>
      <c r="H11" s="21">
        <f t="shared" ref="H11:H13" si="8">(E11-F11)+G11</f>
        <v>945</v>
      </c>
      <c r="I11" s="21">
        <f t="shared" ref="I11:I13" si="9">(D11-C11)*B11</f>
        <v>200</v>
      </c>
    </row>
    <row r="12" spans="1:9" x14ac:dyDescent="0.3">
      <c r="A12" s="22" t="s">
        <v>98</v>
      </c>
      <c r="B12" s="22">
        <v>8</v>
      </c>
      <c r="C12" s="22">
        <v>400</v>
      </c>
      <c r="D12" s="21">
        <v>500</v>
      </c>
      <c r="E12" s="21">
        <f t="shared" si="5"/>
        <v>4000</v>
      </c>
      <c r="F12" s="21">
        <f t="shared" si="6"/>
        <v>400</v>
      </c>
      <c r="G12" s="21">
        <f t="shared" si="7"/>
        <v>180</v>
      </c>
      <c r="H12" s="21">
        <f t="shared" si="8"/>
        <v>3780</v>
      </c>
      <c r="I12" s="21">
        <f t="shared" si="9"/>
        <v>800</v>
      </c>
    </row>
    <row r="13" spans="1:9" x14ac:dyDescent="0.3">
      <c r="A13" s="22" t="s">
        <v>85</v>
      </c>
      <c r="B13" s="22">
        <v>3</v>
      </c>
      <c r="C13" s="22">
        <v>650</v>
      </c>
      <c r="D13" s="21">
        <v>800</v>
      </c>
      <c r="E13" s="21">
        <f t="shared" si="5"/>
        <v>2400</v>
      </c>
      <c r="F13" s="21">
        <f t="shared" si="6"/>
        <v>240</v>
      </c>
      <c r="G13" s="21">
        <f t="shared" si="7"/>
        <v>108</v>
      </c>
      <c r="H13" s="21">
        <f t="shared" si="8"/>
        <v>2268</v>
      </c>
      <c r="I13" s="21">
        <f t="shared" si="9"/>
        <v>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10DE-B44B-418D-8D8B-4A2195556253}">
  <dimension ref="A1:F16"/>
  <sheetViews>
    <sheetView workbookViewId="0">
      <selection activeCell="M21" sqref="M21"/>
    </sheetView>
  </sheetViews>
  <sheetFormatPr defaultRowHeight="14.4" x14ac:dyDescent="0.3"/>
  <sheetData>
    <row r="1" spans="1:6" x14ac:dyDescent="0.3">
      <c r="A1" s="23" t="s">
        <v>99</v>
      </c>
      <c r="B1" s="23" t="s">
        <v>37</v>
      </c>
      <c r="C1" s="23" t="s">
        <v>100</v>
      </c>
      <c r="D1" s="23" t="s">
        <v>101</v>
      </c>
      <c r="E1" s="23" t="s">
        <v>102</v>
      </c>
      <c r="F1" s="23" t="s">
        <v>103</v>
      </c>
    </row>
    <row r="2" spans="1:6" x14ac:dyDescent="0.3">
      <c r="A2" s="5">
        <v>1</v>
      </c>
      <c r="B2" s="5" t="s">
        <v>6</v>
      </c>
      <c r="C2" s="5">
        <v>76</v>
      </c>
      <c r="D2" s="5">
        <v>88</v>
      </c>
      <c r="E2" s="5">
        <v>88</v>
      </c>
      <c r="F2" s="5">
        <v>84</v>
      </c>
    </row>
    <row r="3" spans="1:6" x14ac:dyDescent="0.3">
      <c r="A3" s="5">
        <v>2</v>
      </c>
      <c r="B3" s="5" t="s">
        <v>10</v>
      </c>
      <c r="C3" s="5">
        <v>56</v>
      </c>
      <c r="D3" s="5">
        <v>76</v>
      </c>
      <c r="E3" s="5">
        <v>45</v>
      </c>
      <c r="F3" s="5">
        <v>45</v>
      </c>
    </row>
    <row r="4" spans="1:6" x14ac:dyDescent="0.3">
      <c r="A4" s="5">
        <v>3</v>
      </c>
      <c r="B4" s="5" t="s">
        <v>5</v>
      </c>
      <c r="C4" s="5">
        <v>65</v>
      </c>
      <c r="D4" s="5">
        <v>38</v>
      </c>
      <c r="E4" s="5">
        <v>95</v>
      </c>
      <c r="F4" s="5">
        <v>45</v>
      </c>
    </row>
    <row r="5" spans="1:6" x14ac:dyDescent="0.3">
      <c r="A5" s="5">
        <v>4</v>
      </c>
      <c r="B5" s="5" t="s">
        <v>104</v>
      </c>
      <c r="C5" s="5">
        <v>34</v>
      </c>
      <c r="D5" s="5">
        <v>40</v>
      </c>
      <c r="E5" s="5">
        <v>45</v>
      </c>
      <c r="F5" s="5">
        <v>62</v>
      </c>
    </row>
    <row r="6" spans="1:6" x14ac:dyDescent="0.3">
      <c r="A6" s="5">
        <v>5</v>
      </c>
      <c r="B6" s="5" t="s">
        <v>17</v>
      </c>
      <c r="C6" s="5">
        <v>67</v>
      </c>
      <c r="D6" s="5">
        <v>50</v>
      </c>
      <c r="E6" s="5">
        <v>58</v>
      </c>
      <c r="F6" s="5">
        <v>49</v>
      </c>
    </row>
    <row r="7" spans="1:6" x14ac:dyDescent="0.3">
      <c r="A7" s="5">
        <v>6</v>
      </c>
      <c r="B7" s="5" t="s">
        <v>31</v>
      </c>
      <c r="C7" s="5">
        <v>78</v>
      </c>
      <c r="D7" s="5">
        <v>67</v>
      </c>
      <c r="E7" s="5">
        <v>53</v>
      </c>
      <c r="F7" s="5">
        <v>45</v>
      </c>
    </row>
    <row r="8" spans="1:6" x14ac:dyDescent="0.3">
      <c r="A8" s="5">
        <v>7</v>
      </c>
      <c r="B8" s="5" t="s">
        <v>30</v>
      </c>
      <c r="C8" s="5">
        <v>34</v>
      </c>
      <c r="D8" s="5">
        <v>87</v>
      </c>
      <c r="E8" s="5">
        <v>65</v>
      </c>
      <c r="F8" s="5">
        <v>65</v>
      </c>
    </row>
    <row r="9" spans="1:6" x14ac:dyDescent="0.3">
      <c r="A9" s="5">
        <v>8</v>
      </c>
      <c r="B9" s="5" t="s">
        <v>105</v>
      </c>
      <c r="C9" s="5">
        <v>45</v>
      </c>
      <c r="D9" s="5">
        <v>99</v>
      </c>
      <c r="E9" s="5">
        <v>66</v>
      </c>
      <c r="F9" s="5">
        <v>32</v>
      </c>
    </row>
    <row r="10" spans="1:6" x14ac:dyDescent="0.3">
      <c r="A10" s="5">
        <v>9</v>
      </c>
      <c r="B10" s="5" t="s">
        <v>106</v>
      </c>
      <c r="C10" s="5">
        <v>78</v>
      </c>
      <c r="D10" s="5">
        <v>56</v>
      </c>
      <c r="E10" s="5">
        <v>91</v>
      </c>
      <c r="F10" s="5">
        <v>78</v>
      </c>
    </row>
    <row r="11" spans="1:6" x14ac:dyDescent="0.3">
      <c r="A11" s="5">
        <v>10</v>
      </c>
      <c r="B11" s="5" t="s">
        <v>107</v>
      </c>
      <c r="C11" s="5">
        <v>98</v>
      </c>
      <c r="D11" s="5">
        <v>34</v>
      </c>
      <c r="E11" s="5">
        <v>24</v>
      </c>
      <c r="F11" s="5">
        <v>49</v>
      </c>
    </row>
    <row r="12" spans="1:6" x14ac:dyDescent="0.3">
      <c r="A12" s="5"/>
      <c r="B12" s="23" t="s">
        <v>108</v>
      </c>
      <c r="C12" s="23">
        <f>SUM(C2:C11)</f>
        <v>631</v>
      </c>
      <c r="D12" s="23">
        <f>SUM(D2:D11)</f>
        <v>635</v>
      </c>
      <c r="E12" s="23">
        <f>SUM(E2:E11)</f>
        <v>630</v>
      </c>
      <c r="F12" s="23">
        <f>SUM(F2:F11)</f>
        <v>554</v>
      </c>
    </row>
    <row r="13" spans="1:6" x14ac:dyDescent="0.3">
      <c r="A13" s="5"/>
      <c r="B13" s="23" t="s">
        <v>109</v>
      </c>
      <c r="C13" s="23">
        <f>MIN(C2:C12)</f>
        <v>34</v>
      </c>
      <c r="D13" s="23">
        <f t="shared" ref="D13:F13" si="0">MIN(D2:D12)</f>
        <v>34</v>
      </c>
      <c r="E13" s="23">
        <f t="shared" si="0"/>
        <v>24</v>
      </c>
      <c r="F13" s="23">
        <f t="shared" si="0"/>
        <v>32</v>
      </c>
    </row>
    <row r="14" spans="1:6" x14ac:dyDescent="0.3">
      <c r="A14" s="5"/>
      <c r="B14" s="23" t="s">
        <v>110</v>
      </c>
      <c r="C14" s="23">
        <f>MAX(C2:C11)</f>
        <v>98</v>
      </c>
      <c r="D14" s="23">
        <f t="shared" ref="D14:F14" si="1">MAX(D2:D11)</f>
        <v>99</v>
      </c>
      <c r="E14" s="23">
        <f t="shared" si="1"/>
        <v>95</v>
      </c>
      <c r="F14" s="23">
        <f t="shared" si="1"/>
        <v>84</v>
      </c>
    </row>
    <row r="15" spans="1:6" x14ac:dyDescent="0.3">
      <c r="A15" s="5"/>
      <c r="B15" s="23" t="s">
        <v>111</v>
      </c>
      <c r="C15" s="23">
        <f>AVERAGE(C2:C11)</f>
        <v>63.1</v>
      </c>
      <c r="D15" s="23">
        <f t="shared" ref="D15:F15" si="2">AVERAGE(D2:D11)</f>
        <v>63.5</v>
      </c>
      <c r="E15" s="23">
        <f t="shared" si="2"/>
        <v>63</v>
      </c>
      <c r="F15" s="23">
        <f t="shared" si="2"/>
        <v>55.4</v>
      </c>
    </row>
    <row r="16" spans="1:6" x14ac:dyDescent="0.3">
      <c r="A16" s="5"/>
      <c r="B16" s="23" t="s">
        <v>112</v>
      </c>
      <c r="C16" s="23">
        <f>COUNT(C2:C11)</f>
        <v>10</v>
      </c>
      <c r="D16" s="23">
        <f t="shared" ref="D16:F16" si="3">COUNT(D2:D11)</f>
        <v>10</v>
      </c>
      <c r="E16" s="23">
        <f t="shared" si="3"/>
        <v>10</v>
      </c>
      <c r="F16" s="23">
        <f t="shared" si="3"/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DE4B8-E28C-4213-A6A3-4B2435712144}">
  <sheetPr>
    <tabColor theme="7" tint="-0.249977111117893"/>
  </sheetPr>
  <dimension ref="A1:L17"/>
  <sheetViews>
    <sheetView topLeftCell="D1" workbookViewId="0">
      <selection activeCell="K4" sqref="K4"/>
    </sheetView>
  </sheetViews>
  <sheetFormatPr defaultRowHeight="14.4" x14ac:dyDescent="0.3"/>
  <cols>
    <col min="2" max="2" width="10.88671875" customWidth="1"/>
    <col min="3" max="3" width="11" customWidth="1"/>
    <col min="10" max="10" width="18" customWidth="1"/>
    <col min="11" max="11" width="9.44140625" customWidth="1"/>
    <col min="12" max="12" width="12.33203125" customWidth="1"/>
  </cols>
  <sheetData>
    <row r="1" spans="1:12" x14ac:dyDescent="0.3">
      <c r="A1" s="24" t="s">
        <v>116</v>
      </c>
      <c r="B1" s="23" t="s">
        <v>113</v>
      </c>
      <c r="C1" s="32" t="s">
        <v>114</v>
      </c>
      <c r="D1" s="33" t="s">
        <v>115</v>
      </c>
      <c r="E1" s="34" t="s">
        <v>133</v>
      </c>
      <c r="F1" s="34" t="s">
        <v>128</v>
      </c>
      <c r="G1" s="35" t="s">
        <v>135</v>
      </c>
      <c r="H1" s="36" t="s">
        <v>136</v>
      </c>
      <c r="I1" s="30"/>
    </row>
    <row r="2" spans="1:12" x14ac:dyDescent="0.3">
      <c r="A2">
        <v>1</v>
      </c>
      <c r="B2" s="5" t="s">
        <v>117</v>
      </c>
      <c r="C2" s="29" t="s">
        <v>121</v>
      </c>
      <c r="D2" s="37">
        <v>15</v>
      </c>
      <c r="E2" s="28">
        <f>COUNTIF(C2,"food")*D2</f>
        <v>15</v>
      </c>
      <c r="F2" s="28">
        <f>COUNTIF(C2,"fun")*D2</f>
        <v>0</v>
      </c>
      <c r="G2" s="28">
        <f>COUNTIF(C2,"investment")*D2</f>
        <v>0</v>
      </c>
      <c r="H2" s="38">
        <f>COUNTIF(C2,"office")*D2</f>
        <v>0</v>
      </c>
      <c r="I2" s="5"/>
    </row>
    <row r="3" spans="1:12" x14ac:dyDescent="0.3">
      <c r="A3">
        <v>2</v>
      </c>
      <c r="B3" s="5" t="s">
        <v>118</v>
      </c>
      <c r="C3" s="29" t="s">
        <v>121</v>
      </c>
      <c r="D3" s="37">
        <v>8</v>
      </c>
      <c r="E3" s="28">
        <f t="shared" ref="E3:E11" si="0">COUNTIF(C3,"food")*D3</f>
        <v>8</v>
      </c>
      <c r="F3" s="28">
        <f t="shared" ref="F3:F11" si="1">COUNTIF(C3,"fun")*D3</f>
        <v>0</v>
      </c>
      <c r="G3" s="28">
        <f t="shared" ref="G3:G11" si="2">COUNTIF(C3,"investment")*D3</f>
        <v>0</v>
      </c>
      <c r="H3" s="38">
        <f t="shared" ref="H3:H11" si="3">COUNTIF(C3,"office")*D3</f>
        <v>0</v>
      </c>
      <c r="I3" s="5"/>
    </row>
    <row r="4" spans="1:12" x14ac:dyDescent="0.3">
      <c r="A4">
        <v>3</v>
      </c>
      <c r="B4" s="5" t="s">
        <v>119</v>
      </c>
      <c r="C4" s="29" t="s">
        <v>121</v>
      </c>
      <c r="D4" s="37">
        <v>20</v>
      </c>
      <c r="E4" s="28">
        <f t="shared" si="0"/>
        <v>20</v>
      </c>
      <c r="F4" s="28">
        <f t="shared" si="1"/>
        <v>0</v>
      </c>
      <c r="G4" s="28">
        <f t="shared" si="2"/>
        <v>0</v>
      </c>
      <c r="H4" s="38">
        <f t="shared" si="3"/>
        <v>0</v>
      </c>
      <c r="I4" s="5"/>
    </row>
    <row r="5" spans="1:12" x14ac:dyDescent="0.3">
      <c r="A5">
        <v>4</v>
      </c>
      <c r="B5" s="5" t="s">
        <v>120</v>
      </c>
      <c r="C5" s="29" t="s">
        <v>121</v>
      </c>
      <c r="D5" s="37">
        <v>80</v>
      </c>
      <c r="E5" s="28">
        <f t="shared" si="0"/>
        <v>80</v>
      </c>
      <c r="F5" s="28">
        <f t="shared" si="1"/>
        <v>0</v>
      </c>
      <c r="G5" s="28">
        <f t="shared" si="2"/>
        <v>0</v>
      </c>
      <c r="H5" s="38">
        <f t="shared" si="3"/>
        <v>0</v>
      </c>
      <c r="I5" s="5"/>
    </row>
    <row r="6" spans="1:12" x14ac:dyDescent="0.3">
      <c r="A6">
        <v>5</v>
      </c>
      <c r="B6" s="5" t="s">
        <v>117</v>
      </c>
      <c r="C6" s="29" t="s">
        <v>121</v>
      </c>
      <c r="D6" s="37">
        <v>10</v>
      </c>
      <c r="E6" s="28">
        <f t="shared" si="0"/>
        <v>10</v>
      </c>
      <c r="F6" s="28">
        <f t="shared" si="1"/>
        <v>0</v>
      </c>
      <c r="G6" s="28">
        <f t="shared" si="2"/>
        <v>0</v>
      </c>
      <c r="H6" s="38">
        <f t="shared" si="3"/>
        <v>0</v>
      </c>
      <c r="I6" s="5"/>
    </row>
    <row r="7" spans="1:12" x14ac:dyDescent="0.3">
      <c r="A7">
        <v>6</v>
      </c>
      <c r="B7" s="5" t="s">
        <v>122</v>
      </c>
      <c r="C7" s="29" t="s">
        <v>123</v>
      </c>
      <c r="D7" s="37">
        <v>40</v>
      </c>
      <c r="E7" s="28">
        <f t="shared" si="0"/>
        <v>0</v>
      </c>
      <c r="F7" s="28">
        <f t="shared" si="1"/>
        <v>0</v>
      </c>
      <c r="G7" s="28">
        <f t="shared" si="2"/>
        <v>0</v>
      </c>
      <c r="H7" s="38">
        <f t="shared" si="3"/>
        <v>40</v>
      </c>
      <c r="I7" s="5"/>
    </row>
    <row r="8" spans="1:12" x14ac:dyDescent="0.3">
      <c r="A8">
        <v>7</v>
      </c>
      <c r="B8" s="5" t="s">
        <v>124</v>
      </c>
      <c r="C8" s="29" t="s">
        <v>125</v>
      </c>
      <c r="D8" s="37">
        <v>1000</v>
      </c>
      <c r="E8" s="28">
        <f t="shared" si="0"/>
        <v>0</v>
      </c>
      <c r="F8" s="28">
        <f t="shared" si="1"/>
        <v>0</v>
      </c>
      <c r="G8" s="28">
        <f t="shared" si="2"/>
        <v>1000</v>
      </c>
      <c r="H8" s="38">
        <f t="shared" si="3"/>
        <v>0</v>
      </c>
      <c r="I8" s="5"/>
    </row>
    <row r="9" spans="1:12" x14ac:dyDescent="0.3">
      <c r="A9">
        <v>8</v>
      </c>
      <c r="B9" s="5" t="s">
        <v>126</v>
      </c>
      <c r="C9" s="29" t="s">
        <v>125</v>
      </c>
      <c r="D9" s="37">
        <v>2000</v>
      </c>
      <c r="E9" s="28">
        <f t="shared" si="0"/>
        <v>0</v>
      </c>
      <c r="F9" s="28">
        <f t="shared" si="1"/>
        <v>0</v>
      </c>
      <c r="G9" s="28">
        <f t="shared" si="2"/>
        <v>2000</v>
      </c>
      <c r="H9" s="38">
        <f t="shared" si="3"/>
        <v>0</v>
      </c>
      <c r="I9" s="5"/>
    </row>
    <row r="10" spans="1:12" x14ac:dyDescent="0.3">
      <c r="A10">
        <v>9</v>
      </c>
      <c r="B10" s="5" t="s">
        <v>127</v>
      </c>
      <c r="C10" s="29" t="s">
        <v>121</v>
      </c>
      <c r="D10" s="37">
        <v>90</v>
      </c>
      <c r="E10" s="28">
        <f t="shared" si="0"/>
        <v>90</v>
      </c>
      <c r="F10" s="28">
        <f t="shared" si="1"/>
        <v>0</v>
      </c>
      <c r="G10" s="28">
        <f t="shared" si="2"/>
        <v>0</v>
      </c>
      <c r="H10" s="38">
        <f t="shared" si="3"/>
        <v>0</v>
      </c>
      <c r="I10" s="5"/>
    </row>
    <row r="11" spans="1:12" ht="15" thickBot="1" x14ac:dyDescent="0.35">
      <c r="A11">
        <v>10</v>
      </c>
      <c r="B11" s="5" t="s">
        <v>129</v>
      </c>
      <c r="C11" s="29" t="s">
        <v>128</v>
      </c>
      <c r="D11" s="39">
        <v>300</v>
      </c>
      <c r="E11" s="40">
        <f t="shared" si="0"/>
        <v>0</v>
      </c>
      <c r="F11" s="40">
        <f t="shared" si="1"/>
        <v>300</v>
      </c>
      <c r="G11" s="40">
        <f t="shared" si="2"/>
        <v>0</v>
      </c>
      <c r="H11" s="41">
        <f t="shared" si="3"/>
        <v>0</v>
      </c>
      <c r="I11" s="5"/>
      <c r="J11" s="31"/>
      <c r="K11" s="31" t="s">
        <v>115</v>
      </c>
      <c r="L11" s="31" t="s">
        <v>26</v>
      </c>
    </row>
    <row r="12" spans="1:12" x14ac:dyDescent="0.3">
      <c r="J12" s="25" t="s">
        <v>130</v>
      </c>
      <c r="K12" s="25">
        <f>SUM(D2:D11)</f>
        <v>3563</v>
      </c>
      <c r="L12" s="26" t="s">
        <v>138</v>
      </c>
    </row>
    <row r="13" spans="1:12" ht="28.8" x14ac:dyDescent="0.3">
      <c r="J13" s="27" t="s">
        <v>131</v>
      </c>
      <c r="K13" s="25">
        <f>AVERAGE(D2:D11)</f>
        <v>356.3</v>
      </c>
      <c r="L13" s="26" t="s">
        <v>138</v>
      </c>
    </row>
    <row r="14" spans="1:12" x14ac:dyDescent="0.3">
      <c r="J14" s="25" t="s">
        <v>132</v>
      </c>
      <c r="K14" s="25">
        <f>SUM(E2:E11)</f>
        <v>223</v>
      </c>
      <c r="L14" s="26">
        <f>100*K14/SUM($K$14:$K$17)</f>
        <v>6.2587706988492844</v>
      </c>
    </row>
    <row r="15" spans="1:12" x14ac:dyDescent="0.3">
      <c r="J15" s="25" t="s">
        <v>134</v>
      </c>
      <c r="K15" s="25">
        <f>SUM(F2:F11)</f>
        <v>300</v>
      </c>
      <c r="L15" s="26">
        <f>100*K15/SUM($K$14:$K$17)</f>
        <v>8.419870895312938</v>
      </c>
    </row>
    <row r="16" spans="1:12" x14ac:dyDescent="0.3">
      <c r="J16" s="25" t="s">
        <v>137</v>
      </c>
      <c r="K16" s="25">
        <f>SUM(H2:H11)</f>
        <v>40</v>
      </c>
      <c r="L16" s="26">
        <f>100*K16/SUM($K$14:$K$17)</f>
        <v>1.1226494527083919</v>
      </c>
    </row>
    <row r="17" spans="10:12" x14ac:dyDescent="0.3">
      <c r="J17" s="25" t="s">
        <v>125</v>
      </c>
      <c r="K17" s="25">
        <f>SUM(G2:G11)</f>
        <v>3000</v>
      </c>
      <c r="L17" s="26">
        <f>100*K17/SUM($K$14:$K$17)</f>
        <v>84.198708953129383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8A24-3F8A-44CD-AB8A-C434D2F247A6}">
  <dimension ref="A1:I51"/>
  <sheetViews>
    <sheetView workbookViewId="0">
      <selection activeCell="M20" sqref="M20"/>
    </sheetView>
  </sheetViews>
  <sheetFormatPr defaultRowHeight="14.4" x14ac:dyDescent="0.3"/>
  <cols>
    <col min="1" max="1" width="8.88671875" customWidth="1"/>
    <col min="2" max="2" width="13.77734375" customWidth="1"/>
    <col min="6" max="6" width="17.77734375" customWidth="1"/>
    <col min="8" max="8" width="10.33203125" customWidth="1"/>
  </cols>
  <sheetData>
    <row r="1" spans="1:9" x14ac:dyDescent="0.3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197</v>
      </c>
      <c r="I1" t="s">
        <v>196</v>
      </c>
    </row>
    <row r="2" spans="1:9" x14ac:dyDescent="0.3">
      <c r="A2">
        <v>1</v>
      </c>
      <c r="B2" t="s">
        <v>146</v>
      </c>
      <c r="C2">
        <v>43</v>
      </c>
      <c r="D2">
        <v>43</v>
      </c>
      <c r="E2">
        <v>46</v>
      </c>
      <c r="F2">
        <v>47</v>
      </c>
      <c r="G2">
        <v>53</v>
      </c>
      <c r="H2" s="42">
        <f>SUM(C2:G2)/500</f>
        <v>0.46400000000000002</v>
      </c>
      <c r="I2" t="str">
        <f>IF(H2&gt;=0.7,"Pass","Fail")</f>
        <v>Fail</v>
      </c>
    </row>
    <row r="3" spans="1:9" x14ac:dyDescent="0.3">
      <c r="A3">
        <v>2</v>
      </c>
      <c r="B3" t="s">
        <v>147</v>
      </c>
      <c r="C3">
        <v>46</v>
      </c>
      <c r="D3">
        <v>48</v>
      </c>
      <c r="E3">
        <v>50</v>
      </c>
      <c r="F3">
        <v>49</v>
      </c>
      <c r="G3">
        <v>56</v>
      </c>
      <c r="H3" s="42">
        <f t="shared" ref="H3:H51" si="0">SUM(C3:G3)/500</f>
        <v>0.498</v>
      </c>
      <c r="I3" t="str">
        <f t="shared" ref="I3:I51" si="1">IF(H3&gt;=0.7,"Pass","Fail")</f>
        <v>Fail</v>
      </c>
    </row>
    <row r="4" spans="1:9" x14ac:dyDescent="0.3">
      <c r="A4">
        <v>3</v>
      </c>
      <c r="B4" t="s">
        <v>148</v>
      </c>
      <c r="C4">
        <v>49</v>
      </c>
      <c r="D4">
        <v>53</v>
      </c>
      <c r="E4">
        <v>54</v>
      </c>
      <c r="F4">
        <v>51</v>
      </c>
      <c r="G4">
        <v>59</v>
      </c>
      <c r="H4" s="42">
        <f t="shared" si="0"/>
        <v>0.53200000000000003</v>
      </c>
      <c r="I4" t="str">
        <f t="shared" si="1"/>
        <v>Fail</v>
      </c>
    </row>
    <row r="5" spans="1:9" x14ac:dyDescent="0.3">
      <c r="A5">
        <v>4</v>
      </c>
      <c r="B5" t="s">
        <v>149</v>
      </c>
      <c r="C5">
        <v>52</v>
      </c>
      <c r="D5">
        <v>58</v>
      </c>
      <c r="E5">
        <v>58</v>
      </c>
      <c r="F5">
        <v>53</v>
      </c>
      <c r="G5">
        <v>62</v>
      </c>
      <c r="H5" s="42">
        <f t="shared" si="0"/>
        <v>0.56599999999999995</v>
      </c>
      <c r="I5" t="str">
        <f t="shared" si="1"/>
        <v>Fail</v>
      </c>
    </row>
    <row r="6" spans="1:9" x14ac:dyDescent="0.3">
      <c r="A6">
        <v>5</v>
      </c>
      <c r="B6" t="s">
        <v>150</v>
      </c>
      <c r="C6">
        <v>55</v>
      </c>
      <c r="D6">
        <v>63</v>
      </c>
      <c r="E6">
        <v>62</v>
      </c>
      <c r="F6">
        <v>55</v>
      </c>
      <c r="G6">
        <v>65</v>
      </c>
      <c r="H6" s="42">
        <f t="shared" si="0"/>
        <v>0.6</v>
      </c>
      <c r="I6" t="str">
        <f t="shared" si="1"/>
        <v>Fail</v>
      </c>
    </row>
    <row r="7" spans="1:9" x14ac:dyDescent="0.3">
      <c r="A7">
        <v>6</v>
      </c>
      <c r="B7" t="s">
        <v>151</v>
      </c>
      <c r="C7">
        <v>58</v>
      </c>
      <c r="D7">
        <v>68</v>
      </c>
      <c r="E7">
        <v>66</v>
      </c>
      <c r="F7">
        <v>57</v>
      </c>
      <c r="G7">
        <v>68</v>
      </c>
      <c r="H7" s="42">
        <f t="shared" si="0"/>
        <v>0.63400000000000001</v>
      </c>
      <c r="I7" t="str">
        <f t="shared" si="1"/>
        <v>Fail</v>
      </c>
    </row>
    <row r="8" spans="1:9" x14ac:dyDescent="0.3">
      <c r="A8">
        <v>7</v>
      </c>
      <c r="B8" t="s">
        <v>152</v>
      </c>
      <c r="C8">
        <v>61</v>
      </c>
      <c r="D8">
        <v>73</v>
      </c>
      <c r="E8">
        <v>70</v>
      </c>
      <c r="F8">
        <v>59</v>
      </c>
      <c r="G8">
        <v>71</v>
      </c>
      <c r="H8" s="42">
        <f t="shared" si="0"/>
        <v>0.66800000000000004</v>
      </c>
      <c r="I8" t="str">
        <f t="shared" si="1"/>
        <v>Fail</v>
      </c>
    </row>
    <row r="9" spans="1:9" x14ac:dyDescent="0.3">
      <c r="A9">
        <v>8</v>
      </c>
      <c r="B9" t="s">
        <v>153</v>
      </c>
      <c r="C9">
        <v>64</v>
      </c>
      <c r="D9">
        <v>78</v>
      </c>
      <c r="E9">
        <v>74</v>
      </c>
      <c r="F9">
        <v>61</v>
      </c>
      <c r="G9">
        <v>74</v>
      </c>
      <c r="H9" s="42">
        <f t="shared" si="0"/>
        <v>0.70199999999999996</v>
      </c>
      <c r="I9" t="str">
        <f t="shared" si="1"/>
        <v>Pass</v>
      </c>
    </row>
    <row r="10" spans="1:9" x14ac:dyDescent="0.3">
      <c r="A10">
        <v>9</v>
      </c>
      <c r="B10" t="s">
        <v>154</v>
      </c>
      <c r="C10">
        <v>67</v>
      </c>
      <c r="D10">
        <v>83</v>
      </c>
      <c r="E10">
        <v>78</v>
      </c>
      <c r="F10">
        <v>63</v>
      </c>
      <c r="G10">
        <v>77</v>
      </c>
      <c r="H10" s="42">
        <f t="shared" si="0"/>
        <v>0.73599999999999999</v>
      </c>
      <c r="I10" t="str">
        <f t="shared" si="1"/>
        <v>Pass</v>
      </c>
    </row>
    <row r="11" spans="1:9" x14ac:dyDescent="0.3">
      <c r="A11">
        <v>10</v>
      </c>
      <c r="B11" t="s">
        <v>155</v>
      </c>
      <c r="C11">
        <v>70</v>
      </c>
      <c r="D11">
        <v>88</v>
      </c>
      <c r="E11">
        <v>82</v>
      </c>
      <c r="F11">
        <v>65</v>
      </c>
      <c r="G11">
        <v>80</v>
      </c>
      <c r="H11" s="42">
        <f t="shared" si="0"/>
        <v>0.77</v>
      </c>
      <c r="I11" t="str">
        <f t="shared" si="1"/>
        <v>Pass</v>
      </c>
    </row>
    <row r="12" spans="1:9" x14ac:dyDescent="0.3">
      <c r="A12">
        <v>11</v>
      </c>
      <c r="B12" t="s">
        <v>156</v>
      </c>
      <c r="C12">
        <v>73</v>
      </c>
      <c r="D12">
        <v>93</v>
      </c>
      <c r="E12">
        <v>86</v>
      </c>
      <c r="F12">
        <v>67</v>
      </c>
      <c r="G12">
        <v>83</v>
      </c>
      <c r="H12" s="42">
        <f t="shared" si="0"/>
        <v>0.80400000000000005</v>
      </c>
      <c r="I12" t="str">
        <f t="shared" si="1"/>
        <v>Pass</v>
      </c>
    </row>
    <row r="13" spans="1:9" x14ac:dyDescent="0.3">
      <c r="A13">
        <v>12</v>
      </c>
      <c r="B13" t="s">
        <v>157</v>
      </c>
      <c r="C13">
        <v>76</v>
      </c>
      <c r="D13">
        <v>98</v>
      </c>
      <c r="E13">
        <v>90</v>
      </c>
      <c r="F13">
        <v>69</v>
      </c>
      <c r="G13">
        <v>86</v>
      </c>
      <c r="H13" s="42">
        <f t="shared" si="0"/>
        <v>0.83799999999999997</v>
      </c>
      <c r="I13" t="str">
        <f t="shared" si="1"/>
        <v>Pass</v>
      </c>
    </row>
    <row r="14" spans="1:9" x14ac:dyDescent="0.3">
      <c r="A14">
        <v>13</v>
      </c>
      <c r="B14" t="s">
        <v>158</v>
      </c>
      <c r="C14">
        <v>79</v>
      </c>
      <c r="D14">
        <v>40</v>
      </c>
      <c r="E14">
        <v>94</v>
      </c>
      <c r="F14">
        <v>71</v>
      </c>
      <c r="G14">
        <v>89</v>
      </c>
      <c r="H14" s="42">
        <f t="shared" si="0"/>
        <v>0.746</v>
      </c>
      <c r="I14" t="str">
        <f t="shared" si="1"/>
        <v>Pass</v>
      </c>
    </row>
    <row r="15" spans="1:9" x14ac:dyDescent="0.3">
      <c r="A15">
        <v>14</v>
      </c>
      <c r="B15" t="s">
        <v>159</v>
      </c>
      <c r="C15">
        <v>82</v>
      </c>
      <c r="D15">
        <v>45</v>
      </c>
      <c r="E15">
        <v>98</v>
      </c>
      <c r="F15">
        <v>73</v>
      </c>
      <c r="G15">
        <v>92</v>
      </c>
      <c r="H15" s="42">
        <f t="shared" si="0"/>
        <v>0.78</v>
      </c>
      <c r="I15" t="str">
        <f t="shared" si="1"/>
        <v>Pass</v>
      </c>
    </row>
    <row r="16" spans="1:9" x14ac:dyDescent="0.3">
      <c r="A16">
        <v>15</v>
      </c>
      <c r="B16" t="s">
        <v>160</v>
      </c>
      <c r="C16">
        <v>85</v>
      </c>
      <c r="D16">
        <v>50</v>
      </c>
      <c r="E16">
        <v>43</v>
      </c>
      <c r="F16">
        <v>75</v>
      </c>
      <c r="G16">
        <v>95</v>
      </c>
      <c r="H16" s="42">
        <f t="shared" si="0"/>
        <v>0.69599999999999995</v>
      </c>
      <c r="I16" t="str">
        <f t="shared" si="1"/>
        <v>Fail</v>
      </c>
    </row>
    <row r="17" spans="1:9" x14ac:dyDescent="0.3">
      <c r="A17">
        <v>16</v>
      </c>
      <c r="B17" t="s">
        <v>161</v>
      </c>
      <c r="C17">
        <v>88</v>
      </c>
      <c r="D17">
        <v>55</v>
      </c>
      <c r="E17">
        <v>47</v>
      </c>
      <c r="F17">
        <v>77</v>
      </c>
      <c r="G17">
        <v>98</v>
      </c>
      <c r="H17" s="42">
        <f t="shared" si="0"/>
        <v>0.73</v>
      </c>
      <c r="I17" t="str">
        <f t="shared" si="1"/>
        <v>Pass</v>
      </c>
    </row>
    <row r="18" spans="1:9" x14ac:dyDescent="0.3">
      <c r="A18">
        <v>17</v>
      </c>
      <c r="B18" t="s">
        <v>162</v>
      </c>
      <c r="C18">
        <v>91</v>
      </c>
      <c r="D18">
        <v>60</v>
      </c>
      <c r="E18">
        <v>51</v>
      </c>
      <c r="F18">
        <v>2</v>
      </c>
      <c r="G18">
        <v>50</v>
      </c>
      <c r="H18" s="42">
        <f t="shared" si="0"/>
        <v>0.50800000000000001</v>
      </c>
      <c r="I18" t="str">
        <f t="shared" si="1"/>
        <v>Fail</v>
      </c>
    </row>
    <row r="19" spans="1:9" x14ac:dyDescent="0.3">
      <c r="A19">
        <v>18</v>
      </c>
      <c r="B19" t="s">
        <v>163</v>
      </c>
      <c r="C19">
        <v>94</v>
      </c>
      <c r="D19">
        <v>65</v>
      </c>
      <c r="E19">
        <v>55</v>
      </c>
      <c r="F19">
        <v>81</v>
      </c>
      <c r="G19">
        <v>53</v>
      </c>
      <c r="H19" s="42">
        <f t="shared" si="0"/>
        <v>0.69599999999999995</v>
      </c>
      <c r="I19" t="str">
        <f t="shared" si="1"/>
        <v>Fail</v>
      </c>
    </row>
    <row r="20" spans="1:9" x14ac:dyDescent="0.3">
      <c r="A20">
        <v>19</v>
      </c>
      <c r="B20" t="s">
        <v>164</v>
      </c>
      <c r="C20">
        <v>97</v>
      </c>
      <c r="D20">
        <v>70</v>
      </c>
      <c r="E20">
        <v>59</v>
      </c>
      <c r="F20">
        <v>83</v>
      </c>
      <c r="G20">
        <v>56</v>
      </c>
      <c r="H20" s="42">
        <f t="shared" si="0"/>
        <v>0.73</v>
      </c>
      <c r="I20" t="str">
        <f t="shared" si="1"/>
        <v>Pass</v>
      </c>
    </row>
    <row r="21" spans="1:9" x14ac:dyDescent="0.3">
      <c r="A21">
        <v>20</v>
      </c>
      <c r="B21" t="s">
        <v>165</v>
      </c>
      <c r="C21">
        <v>100</v>
      </c>
      <c r="D21">
        <v>75</v>
      </c>
      <c r="E21">
        <v>63</v>
      </c>
      <c r="F21">
        <v>85</v>
      </c>
      <c r="G21">
        <v>59</v>
      </c>
      <c r="H21" s="42">
        <f t="shared" si="0"/>
        <v>0.76400000000000001</v>
      </c>
      <c r="I21" t="str">
        <f t="shared" si="1"/>
        <v>Pass</v>
      </c>
    </row>
    <row r="22" spans="1:9" x14ac:dyDescent="0.3">
      <c r="A22">
        <v>21</v>
      </c>
      <c r="B22" t="s">
        <v>166</v>
      </c>
      <c r="C22">
        <v>42</v>
      </c>
      <c r="D22">
        <v>80</v>
      </c>
      <c r="E22">
        <v>67</v>
      </c>
      <c r="F22">
        <v>87</v>
      </c>
      <c r="G22">
        <v>62</v>
      </c>
      <c r="H22" s="42">
        <f t="shared" si="0"/>
        <v>0.67600000000000005</v>
      </c>
      <c r="I22" t="str">
        <f t="shared" si="1"/>
        <v>Fail</v>
      </c>
    </row>
    <row r="23" spans="1:9" x14ac:dyDescent="0.3">
      <c r="A23">
        <v>22</v>
      </c>
      <c r="B23" t="s">
        <v>167</v>
      </c>
      <c r="C23">
        <v>45</v>
      </c>
      <c r="D23">
        <v>85</v>
      </c>
      <c r="E23">
        <v>71</v>
      </c>
      <c r="F23">
        <v>89</v>
      </c>
      <c r="G23">
        <v>65</v>
      </c>
      <c r="H23" s="42">
        <f t="shared" si="0"/>
        <v>0.71</v>
      </c>
      <c r="I23" t="str">
        <f t="shared" si="1"/>
        <v>Pass</v>
      </c>
    </row>
    <row r="24" spans="1:9" x14ac:dyDescent="0.3">
      <c r="A24">
        <v>23</v>
      </c>
      <c r="B24" t="s">
        <v>168</v>
      </c>
      <c r="C24">
        <v>48</v>
      </c>
      <c r="D24">
        <v>90</v>
      </c>
      <c r="E24">
        <v>75</v>
      </c>
      <c r="F24">
        <v>91</v>
      </c>
      <c r="G24">
        <v>68</v>
      </c>
      <c r="H24" s="42">
        <f t="shared" si="0"/>
        <v>0.74399999999999999</v>
      </c>
      <c r="I24" t="str">
        <f t="shared" si="1"/>
        <v>Pass</v>
      </c>
    </row>
    <row r="25" spans="1:9" x14ac:dyDescent="0.3">
      <c r="A25">
        <v>24</v>
      </c>
      <c r="B25" t="s">
        <v>169</v>
      </c>
      <c r="C25">
        <v>51</v>
      </c>
      <c r="D25">
        <v>95</v>
      </c>
      <c r="E25">
        <v>79</v>
      </c>
      <c r="F25">
        <v>93</v>
      </c>
      <c r="G25">
        <v>71</v>
      </c>
      <c r="H25" s="42">
        <f t="shared" si="0"/>
        <v>0.77800000000000002</v>
      </c>
      <c r="I25" t="str">
        <f t="shared" si="1"/>
        <v>Pass</v>
      </c>
    </row>
    <row r="26" spans="1:9" x14ac:dyDescent="0.3">
      <c r="A26">
        <v>25</v>
      </c>
      <c r="B26" t="s">
        <v>170</v>
      </c>
      <c r="C26">
        <v>54</v>
      </c>
      <c r="D26">
        <v>100</v>
      </c>
      <c r="E26">
        <v>83</v>
      </c>
      <c r="F26">
        <v>95</v>
      </c>
      <c r="G26">
        <v>74</v>
      </c>
      <c r="H26" s="42">
        <f t="shared" si="0"/>
        <v>0.81200000000000006</v>
      </c>
      <c r="I26" t="str">
        <f t="shared" si="1"/>
        <v>Pass</v>
      </c>
    </row>
    <row r="27" spans="1:9" x14ac:dyDescent="0.3">
      <c r="A27">
        <v>26</v>
      </c>
      <c r="B27" t="s">
        <v>171</v>
      </c>
      <c r="C27">
        <v>57</v>
      </c>
      <c r="D27">
        <v>42</v>
      </c>
      <c r="E27">
        <v>87</v>
      </c>
      <c r="F27">
        <v>97</v>
      </c>
      <c r="G27">
        <v>77</v>
      </c>
      <c r="H27" s="42">
        <f t="shared" si="0"/>
        <v>0.72</v>
      </c>
      <c r="I27" t="str">
        <f t="shared" si="1"/>
        <v>Pass</v>
      </c>
    </row>
    <row r="28" spans="1:9" x14ac:dyDescent="0.3">
      <c r="A28">
        <v>27</v>
      </c>
      <c r="B28" t="s">
        <v>172</v>
      </c>
      <c r="C28">
        <v>60</v>
      </c>
      <c r="D28">
        <v>47</v>
      </c>
      <c r="E28">
        <v>91</v>
      </c>
      <c r="F28">
        <v>99</v>
      </c>
      <c r="G28">
        <v>80</v>
      </c>
      <c r="H28" s="42">
        <f t="shared" si="0"/>
        <v>0.754</v>
      </c>
      <c r="I28" t="str">
        <f t="shared" si="1"/>
        <v>Pass</v>
      </c>
    </row>
    <row r="29" spans="1:9" x14ac:dyDescent="0.3">
      <c r="A29">
        <v>28</v>
      </c>
      <c r="B29" t="s">
        <v>173</v>
      </c>
      <c r="C29">
        <v>63</v>
      </c>
      <c r="D29">
        <v>52</v>
      </c>
      <c r="E29">
        <v>95</v>
      </c>
      <c r="F29">
        <v>46</v>
      </c>
      <c r="G29">
        <v>83</v>
      </c>
      <c r="H29" s="42">
        <f t="shared" si="0"/>
        <v>0.67800000000000005</v>
      </c>
      <c r="I29" t="str">
        <f t="shared" si="1"/>
        <v>Fail</v>
      </c>
    </row>
    <row r="30" spans="1:9" x14ac:dyDescent="0.3">
      <c r="A30">
        <v>29</v>
      </c>
      <c r="B30" t="s">
        <v>174</v>
      </c>
      <c r="C30">
        <v>66</v>
      </c>
      <c r="D30">
        <v>57</v>
      </c>
      <c r="E30">
        <v>99</v>
      </c>
      <c r="F30">
        <v>48</v>
      </c>
      <c r="G30">
        <v>86</v>
      </c>
      <c r="H30" s="42">
        <f t="shared" si="0"/>
        <v>0.71199999999999997</v>
      </c>
      <c r="I30" t="str">
        <f t="shared" si="1"/>
        <v>Pass</v>
      </c>
    </row>
    <row r="31" spans="1:9" x14ac:dyDescent="0.3">
      <c r="A31">
        <v>30</v>
      </c>
      <c r="B31" t="s">
        <v>175</v>
      </c>
      <c r="C31">
        <v>69</v>
      </c>
      <c r="D31">
        <v>62</v>
      </c>
      <c r="E31">
        <v>44</v>
      </c>
      <c r="F31">
        <v>50</v>
      </c>
      <c r="G31">
        <v>89</v>
      </c>
      <c r="H31" s="42">
        <f t="shared" si="0"/>
        <v>0.628</v>
      </c>
      <c r="I31" t="str">
        <f t="shared" si="1"/>
        <v>Fail</v>
      </c>
    </row>
    <row r="32" spans="1:9" x14ac:dyDescent="0.3">
      <c r="A32">
        <v>31</v>
      </c>
      <c r="B32" t="s">
        <v>176</v>
      </c>
      <c r="C32">
        <v>72</v>
      </c>
      <c r="D32">
        <v>67</v>
      </c>
      <c r="E32">
        <v>48</v>
      </c>
      <c r="F32">
        <v>52</v>
      </c>
      <c r="G32">
        <v>92</v>
      </c>
      <c r="H32" s="42">
        <f t="shared" si="0"/>
        <v>0.66200000000000003</v>
      </c>
      <c r="I32" t="str">
        <f t="shared" si="1"/>
        <v>Fail</v>
      </c>
    </row>
    <row r="33" spans="1:9" x14ac:dyDescent="0.3">
      <c r="A33">
        <v>32</v>
      </c>
      <c r="B33" t="s">
        <v>177</v>
      </c>
      <c r="C33">
        <v>75</v>
      </c>
      <c r="D33">
        <v>72</v>
      </c>
      <c r="E33">
        <v>52</v>
      </c>
      <c r="F33">
        <v>54</v>
      </c>
      <c r="G33">
        <v>95</v>
      </c>
      <c r="H33" s="42">
        <f t="shared" si="0"/>
        <v>0.69599999999999995</v>
      </c>
      <c r="I33" t="str">
        <f t="shared" si="1"/>
        <v>Fail</v>
      </c>
    </row>
    <row r="34" spans="1:9" x14ac:dyDescent="0.3">
      <c r="A34">
        <v>33</v>
      </c>
      <c r="B34" t="s">
        <v>178</v>
      </c>
      <c r="C34">
        <v>78</v>
      </c>
      <c r="D34">
        <v>77</v>
      </c>
      <c r="E34">
        <v>56</v>
      </c>
      <c r="F34">
        <v>56</v>
      </c>
      <c r="G34">
        <v>98</v>
      </c>
      <c r="H34" s="42">
        <f t="shared" si="0"/>
        <v>0.73</v>
      </c>
      <c r="I34" t="str">
        <f t="shared" si="1"/>
        <v>Pass</v>
      </c>
    </row>
    <row r="35" spans="1:9" x14ac:dyDescent="0.3">
      <c r="A35">
        <v>34</v>
      </c>
      <c r="B35" t="s">
        <v>179</v>
      </c>
      <c r="C35">
        <v>81</v>
      </c>
      <c r="D35">
        <v>82</v>
      </c>
      <c r="E35">
        <v>60</v>
      </c>
      <c r="F35">
        <v>58</v>
      </c>
      <c r="G35">
        <v>50</v>
      </c>
      <c r="H35" s="42">
        <f t="shared" si="0"/>
        <v>0.66200000000000003</v>
      </c>
      <c r="I35" t="str">
        <f t="shared" si="1"/>
        <v>Fail</v>
      </c>
    </row>
    <row r="36" spans="1:9" x14ac:dyDescent="0.3">
      <c r="A36">
        <v>35</v>
      </c>
      <c r="B36" t="s">
        <v>180</v>
      </c>
      <c r="C36">
        <v>84</v>
      </c>
      <c r="D36">
        <v>87</v>
      </c>
      <c r="E36">
        <v>64</v>
      </c>
      <c r="F36">
        <v>60</v>
      </c>
      <c r="G36">
        <v>53</v>
      </c>
      <c r="H36" s="42">
        <f t="shared" si="0"/>
        <v>0.69599999999999995</v>
      </c>
      <c r="I36" t="str">
        <f t="shared" si="1"/>
        <v>Fail</v>
      </c>
    </row>
    <row r="37" spans="1:9" x14ac:dyDescent="0.3">
      <c r="A37">
        <v>36</v>
      </c>
      <c r="B37" t="s">
        <v>181</v>
      </c>
      <c r="C37">
        <v>87</v>
      </c>
      <c r="D37">
        <v>92</v>
      </c>
      <c r="E37">
        <v>68</v>
      </c>
      <c r="F37">
        <v>62</v>
      </c>
      <c r="G37">
        <v>56</v>
      </c>
      <c r="H37" s="42">
        <f t="shared" si="0"/>
        <v>0.73</v>
      </c>
      <c r="I37" t="str">
        <f t="shared" si="1"/>
        <v>Pass</v>
      </c>
    </row>
    <row r="38" spans="1:9" x14ac:dyDescent="0.3">
      <c r="A38">
        <v>37</v>
      </c>
      <c r="B38" t="s">
        <v>182</v>
      </c>
      <c r="C38">
        <v>90</v>
      </c>
      <c r="D38">
        <v>97</v>
      </c>
      <c r="E38">
        <v>72</v>
      </c>
      <c r="F38">
        <v>64</v>
      </c>
      <c r="G38">
        <v>59</v>
      </c>
      <c r="H38" s="42">
        <f t="shared" si="0"/>
        <v>0.76400000000000001</v>
      </c>
      <c r="I38" t="str">
        <f t="shared" si="1"/>
        <v>Pass</v>
      </c>
    </row>
    <row r="39" spans="1:9" x14ac:dyDescent="0.3">
      <c r="A39">
        <v>38</v>
      </c>
      <c r="B39" t="s">
        <v>183</v>
      </c>
      <c r="C39">
        <v>93</v>
      </c>
      <c r="D39">
        <v>39</v>
      </c>
      <c r="E39">
        <v>76</v>
      </c>
      <c r="F39">
        <v>66</v>
      </c>
      <c r="G39">
        <v>62</v>
      </c>
      <c r="H39" s="42">
        <f t="shared" si="0"/>
        <v>0.67200000000000004</v>
      </c>
      <c r="I39" t="str">
        <f t="shared" si="1"/>
        <v>Fail</v>
      </c>
    </row>
    <row r="40" spans="1:9" x14ac:dyDescent="0.3">
      <c r="A40">
        <v>39</v>
      </c>
      <c r="B40" t="s">
        <v>184</v>
      </c>
      <c r="C40">
        <v>96</v>
      </c>
      <c r="D40">
        <v>44</v>
      </c>
      <c r="E40">
        <v>80</v>
      </c>
      <c r="F40">
        <v>68</v>
      </c>
      <c r="G40">
        <v>65</v>
      </c>
      <c r="H40" s="42">
        <f t="shared" si="0"/>
        <v>0.70599999999999996</v>
      </c>
      <c r="I40" t="str">
        <f t="shared" si="1"/>
        <v>Pass</v>
      </c>
    </row>
    <row r="41" spans="1:9" x14ac:dyDescent="0.3">
      <c r="A41">
        <v>40</v>
      </c>
      <c r="B41" t="s">
        <v>185</v>
      </c>
      <c r="C41">
        <v>99</v>
      </c>
      <c r="D41">
        <v>49</v>
      </c>
      <c r="E41">
        <v>84</v>
      </c>
      <c r="F41">
        <v>70</v>
      </c>
      <c r="G41">
        <v>68</v>
      </c>
      <c r="H41" s="42">
        <f t="shared" si="0"/>
        <v>0.74</v>
      </c>
      <c r="I41" t="str">
        <f t="shared" si="1"/>
        <v>Pass</v>
      </c>
    </row>
    <row r="42" spans="1:9" x14ac:dyDescent="0.3">
      <c r="A42">
        <v>41</v>
      </c>
      <c r="B42" t="s">
        <v>186</v>
      </c>
      <c r="C42">
        <v>41</v>
      </c>
      <c r="D42">
        <v>54</v>
      </c>
      <c r="E42">
        <v>88</v>
      </c>
      <c r="F42">
        <v>72</v>
      </c>
      <c r="G42">
        <v>71</v>
      </c>
      <c r="H42" s="42">
        <f t="shared" si="0"/>
        <v>0.65200000000000002</v>
      </c>
      <c r="I42" t="str">
        <f t="shared" si="1"/>
        <v>Fail</v>
      </c>
    </row>
    <row r="43" spans="1:9" x14ac:dyDescent="0.3">
      <c r="A43">
        <v>42</v>
      </c>
      <c r="B43" t="s">
        <v>187</v>
      </c>
      <c r="C43">
        <v>44</v>
      </c>
      <c r="D43">
        <v>59</v>
      </c>
      <c r="E43">
        <v>92</v>
      </c>
      <c r="F43">
        <v>74</v>
      </c>
      <c r="G43">
        <v>74</v>
      </c>
      <c r="H43" s="42">
        <f t="shared" si="0"/>
        <v>0.68600000000000005</v>
      </c>
      <c r="I43" t="str">
        <f t="shared" si="1"/>
        <v>Fail</v>
      </c>
    </row>
    <row r="44" spans="1:9" x14ac:dyDescent="0.3">
      <c r="A44">
        <v>43</v>
      </c>
      <c r="B44" t="s">
        <v>188</v>
      </c>
      <c r="C44">
        <v>47</v>
      </c>
      <c r="D44">
        <v>64</v>
      </c>
      <c r="E44">
        <v>96</v>
      </c>
      <c r="F44">
        <v>76</v>
      </c>
      <c r="G44">
        <v>77</v>
      </c>
      <c r="H44" s="42">
        <f t="shared" si="0"/>
        <v>0.72</v>
      </c>
      <c r="I44" t="str">
        <f t="shared" si="1"/>
        <v>Pass</v>
      </c>
    </row>
    <row r="45" spans="1:9" x14ac:dyDescent="0.3">
      <c r="A45">
        <v>44</v>
      </c>
      <c r="B45" t="s">
        <v>189</v>
      </c>
      <c r="C45">
        <v>50</v>
      </c>
      <c r="D45">
        <v>69</v>
      </c>
      <c r="E45">
        <v>100</v>
      </c>
      <c r="F45">
        <v>78</v>
      </c>
      <c r="G45">
        <v>80</v>
      </c>
      <c r="H45" s="42">
        <f t="shared" si="0"/>
        <v>0.754</v>
      </c>
      <c r="I45" t="str">
        <f t="shared" si="1"/>
        <v>Pass</v>
      </c>
    </row>
    <row r="46" spans="1:9" x14ac:dyDescent="0.3">
      <c r="A46">
        <v>45</v>
      </c>
      <c r="B46" t="s">
        <v>190</v>
      </c>
      <c r="C46">
        <v>53</v>
      </c>
      <c r="D46">
        <v>74</v>
      </c>
      <c r="E46">
        <v>45</v>
      </c>
      <c r="F46">
        <v>80</v>
      </c>
      <c r="G46">
        <v>83</v>
      </c>
      <c r="H46" s="42">
        <f t="shared" si="0"/>
        <v>0.67</v>
      </c>
      <c r="I46" t="str">
        <f t="shared" si="1"/>
        <v>Fail</v>
      </c>
    </row>
    <row r="47" spans="1:9" x14ac:dyDescent="0.3">
      <c r="A47">
        <v>46</v>
      </c>
      <c r="B47" t="s">
        <v>191</v>
      </c>
      <c r="C47">
        <v>56</v>
      </c>
      <c r="D47">
        <v>79</v>
      </c>
      <c r="E47">
        <v>49</v>
      </c>
      <c r="F47">
        <v>82</v>
      </c>
      <c r="G47">
        <v>86</v>
      </c>
      <c r="H47" s="42">
        <f t="shared" si="0"/>
        <v>0.70399999999999996</v>
      </c>
      <c r="I47" t="str">
        <f t="shared" si="1"/>
        <v>Pass</v>
      </c>
    </row>
    <row r="48" spans="1:9" x14ac:dyDescent="0.3">
      <c r="A48">
        <v>47</v>
      </c>
      <c r="B48" t="s">
        <v>192</v>
      </c>
      <c r="C48">
        <v>59</v>
      </c>
      <c r="D48">
        <v>84</v>
      </c>
      <c r="E48">
        <v>53</v>
      </c>
      <c r="F48">
        <v>84</v>
      </c>
      <c r="G48">
        <v>89</v>
      </c>
      <c r="H48" s="42">
        <f t="shared" si="0"/>
        <v>0.73799999999999999</v>
      </c>
      <c r="I48" t="str">
        <f t="shared" si="1"/>
        <v>Pass</v>
      </c>
    </row>
    <row r="49" spans="1:9" x14ac:dyDescent="0.3">
      <c r="A49">
        <v>48</v>
      </c>
      <c r="B49" t="s">
        <v>193</v>
      </c>
      <c r="C49">
        <v>62</v>
      </c>
      <c r="D49">
        <v>89</v>
      </c>
      <c r="E49">
        <v>57</v>
      </c>
      <c r="F49">
        <v>86</v>
      </c>
      <c r="G49">
        <v>92</v>
      </c>
      <c r="H49" s="42">
        <f t="shared" si="0"/>
        <v>0.77200000000000002</v>
      </c>
      <c r="I49" t="str">
        <f t="shared" si="1"/>
        <v>Pass</v>
      </c>
    </row>
    <row r="50" spans="1:9" x14ac:dyDescent="0.3">
      <c r="A50">
        <v>49</v>
      </c>
      <c r="B50" t="s">
        <v>194</v>
      </c>
      <c r="C50">
        <v>65</v>
      </c>
      <c r="D50">
        <v>94</v>
      </c>
      <c r="E50">
        <v>61</v>
      </c>
      <c r="F50">
        <v>88</v>
      </c>
      <c r="G50">
        <v>95</v>
      </c>
      <c r="H50" s="42">
        <f t="shared" si="0"/>
        <v>0.80600000000000005</v>
      </c>
      <c r="I50" t="str">
        <f t="shared" si="1"/>
        <v>Pass</v>
      </c>
    </row>
    <row r="51" spans="1:9" x14ac:dyDescent="0.3">
      <c r="A51">
        <v>50</v>
      </c>
      <c r="B51" t="s">
        <v>195</v>
      </c>
      <c r="C51">
        <v>68</v>
      </c>
      <c r="D51">
        <v>99</v>
      </c>
      <c r="E51">
        <v>65</v>
      </c>
      <c r="F51">
        <v>90</v>
      </c>
      <c r="G51">
        <v>98</v>
      </c>
      <c r="H51" s="42">
        <f t="shared" si="0"/>
        <v>0.84</v>
      </c>
      <c r="I51" t="str">
        <f t="shared" si="1"/>
        <v>Pass</v>
      </c>
    </row>
  </sheetData>
  <conditionalFormatting sqref="C1:C51">
    <cfRule type="cellIs" dxfId="7" priority="8" operator="lessThan">
      <formula>60</formula>
    </cfRule>
    <cfRule type="cellIs" dxfId="6" priority="9" operator="lessThan">
      <formula>50</formula>
    </cfRule>
  </conditionalFormatting>
  <conditionalFormatting sqref="C2:E51 G2:G51">
    <cfRule type="cellIs" dxfId="5" priority="7" operator="greaterThan">
      <formula>90</formula>
    </cfRule>
  </conditionalFormatting>
  <conditionalFormatting sqref="F2:F51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I1:I1048576">
    <cfRule type="containsText" dxfId="4" priority="5" operator="containsText" text="Pass">
      <formula>NOT(ISERROR(SEARCH("Pass",I1)))</formula>
    </cfRule>
    <cfRule type="containsText" dxfId="3" priority="6" operator="containsText" text="Fail">
      <formula>NOT(ISERROR(SEARCH("Fail",I1)))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9F6B-B831-4EF0-90D2-10B98D9C01B6}">
  <sheetPr filterMode="1"/>
  <dimension ref="A1:G52"/>
  <sheetViews>
    <sheetView workbookViewId="0">
      <selection activeCell="G4" sqref="G4"/>
    </sheetView>
  </sheetViews>
  <sheetFormatPr defaultRowHeight="14.4" x14ac:dyDescent="0.3"/>
  <cols>
    <col min="1" max="1" width="10.33203125" bestFit="1" customWidth="1"/>
    <col min="2" max="2" width="16.5546875" bestFit="1" customWidth="1"/>
    <col min="3" max="3" width="10.6640625" bestFit="1" customWidth="1"/>
    <col min="4" max="4" width="10.109375" bestFit="1" customWidth="1"/>
    <col min="7" max="7" width="11.109375" customWidth="1"/>
  </cols>
  <sheetData>
    <row r="1" spans="1:7" x14ac:dyDescent="0.3">
      <c r="A1" t="s">
        <v>198</v>
      </c>
      <c r="B1" t="s">
        <v>113</v>
      </c>
      <c r="C1" t="s">
        <v>199</v>
      </c>
      <c r="D1" t="s">
        <v>200</v>
      </c>
      <c r="E1" t="s">
        <v>201</v>
      </c>
    </row>
    <row r="2" spans="1:7" x14ac:dyDescent="0.3">
      <c r="A2" s="43">
        <v>45658</v>
      </c>
      <c r="B2" t="s">
        <v>202</v>
      </c>
      <c r="C2">
        <v>2097</v>
      </c>
      <c r="E2">
        <v>52097</v>
      </c>
    </row>
    <row r="3" spans="1:7" x14ac:dyDescent="0.3">
      <c r="A3" s="43">
        <v>45660</v>
      </c>
      <c r="B3" t="s">
        <v>203</v>
      </c>
      <c r="D3">
        <v>1421</v>
      </c>
      <c r="E3">
        <v>54214</v>
      </c>
    </row>
    <row r="4" spans="1:7" x14ac:dyDescent="0.3">
      <c r="A4" s="43">
        <v>45660</v>
      </c>
      <c r="B4" t="s">
        <v>202</v>
      </c>
      <c r="C4">
        <v>2326</v>
      </c>
      <c r="E4">
        <v>55635</v>
      </c>
      <c r="G4" t="s">
        <v>209</v>
      </c>
    </row>
    <row r="5" spans="1:7" x14ac:dyDescent="0.3">
      <c r="A5" s="43">
        <v>45661</v>
      </c>
      <c r="B5" t="s">
        <v>202</v>
      </c>
      <c r="C5">
        <v>2327</v>
      </c>
      <c r="E5">
        <v>56541</v>
      </c>
    </row>
    <row r="6" spans="1:7" x14ac:dyDescent="0.3">
      <c r="A6" s="43">
        <v>45661</v>
      </c>
      <c r="B6" t="s">
        <v>204</v>
      </c>
      <c r="C6">
        <v>7680</v>
      </c>
      <c r="E6">
        <v>64221</v>
      </c>
    </row>
    <row r="7" spans="1:7" x14ac:dyDescent="0.3">
      <c r="A7" s="43">
        <v>45663</v>
      </c>
      <c r="B7" t="s">
        <v>203</v>
      </c>
      <c r="D7">
        <v>3383</v>
      </c>
      <c r="E7">
        <v>64245</v>
      </c>
    </row>
    <row r="8" spans="1:7" x14ac:dyDescent="0.3">
      <c r="A8" s="43">
        <v>45662</v>
      </c>
      <c r="B8" t="s">
        <v>202</v>
      </c>
      <c r="C8">
        <v>2270</v>
      </c>
      <c r="E8">
        <v>66491</v>
      </c>
    </row>
    <row r="9" spans="1:7" x14ac:dyDescent="0.3">
      <c r="A9" s="43">
        <v>45664</v>
      </c>
      <c r="B9" t="s">
        <v>202</v>
      </c>
      <c r="C9">
        <v>2279</v>
      </c>
      <c r="E9">
        <v>66524</v>
      </c>
    </row>
    <row r="10" spans="1:7" x14ac:dyDescent="0.3">
      <c r="A10" s="43">
        <v>45664</v>
      </c>
      <c r="B10" t="s">
        <v>203</v>
      </c>
      <c r="D10">
        <v>942</v>
      </c>
      <c r="E10">
        <v>69371</v>
      </c>
    </row>
    <row r="11" spans="1:7" x14ac:dyDescent="0.3">
      <c r="A11" s="43">
        <v>45664</v>
      </c>
      <c r="B11" t="s">
        <v>205</v>
      </c>
      <c r="C11">
        <v>3789</v>
      </c>
      <c r="E11">
        <v>70313</v>
      </c>
    </row>
    <row r="12" spans="1:7" x14ac:dyDescent="0.3">
      <c r="A12" s="43">
        <v>45666</v>
      </c>
      <c r="B12" t="s">
        <v>203</v>
      </c>
      <c r="D12">
        <v>4265</v>
      </c>
      <c r="E12">
        <v>82042</v>
      </c>
    </row>
    <row r="13" spans="1:7" hidden="1" x14ac:dyDescent="0.3">
      <c r="A13" s="43">
        <v>45687</v>
      </c>
      <c r="B13" t="s">
        <v>202</v>
      </c>
      <c r="C13">
        <v>1182</v>
      </c>
      <c r="E13">
        <v>152575</v>
      </c>
    </row>
    <row r="14" spans="1:7" hidden="1" x14ac:dyDescent="0.3">
      <c r="A14" s="43">
        <v>45686</v>
      </c>
      <c r="B14" t="s">
        <v>202</v>
      </c>
      <c r="C14">
        <v>894</v>
      </c>
      <c r="E14">
        <v>151393</v>
      </c>
    </row>
    <row r="15" spans="1:7" x14ac:dyDescent="0.3">
      <c r="A15" s="43">
        <v>45665</v>
      </c>
      <c r="B15" t="s">
        <v>206</v>
      </c>
      <c r="C15">
        <v>13590</v>
      </c>
      <c r="E15">
        <v>83911</v>
      </c>
    </row>
    <row r="16" spans="1:7" x14ac:dyDescent="0.3">
      <c r="A16" s="43">
        <v>45667</v>
      </c>
      <c r="B16" t="s">
        <v>202</v>
      </c>
      <c r="C16">
        <v>2163</v>
      </c>
      <c r="E16">
        <v>84205</v>
      </c>
    </row>
    <row r="17" spans="1:5" hidden="1" x14ac:dyDescent="0.3">
      <c r="A17" s="43">
        <v>45683</v>
      </c>
      <c r="B17" t="s">
        <v>202</v>
      </c>
      <c r="C17">
        <v>1001</v>
      </c>
      <c r="E17">
        <v>146863</v>
      </c>
    </row>
    <row r="18" spans="1:5" x14ac:dyDescent="0.3">
      <c r="A18" s="43">
        <v>45666</v>
      </c>
      <c r="B18" t="s">
        <v>202</v>
      </c>
      <c r="C18">
        <v>2396</v>
      </c>
      <c r="E18">
        <v>86307</v>
      </c>
    </row>
    <row r="19" spans="1:5" x14ac:dyDescent="0.3">
      <c r="A19" s="43">
        <v>45668</v>
      </c>
      <c r="B19" t="s">
        <v>202</v>
      </c>
      <c r="C19">
        <v>2232</v>
      </c>
      <c r="E19">
        <v>86437</v>
      </c>
    </row>
    <row r="20" spans="1:5" x14ac:dyDescent="0.3">
      <c r="A20" s="43">
        <v>45669</v>
      </c>
      <c r="B20" t="s">
        <v>203</v>
      </c>
      <c r="D20">
        <v>4811</v>
      </c>
      <c r="E20">
        <v>93633</v>
      </c>
    </row>
    <row r="21" spans="1:5" x14ac:dyDescent="0.3">
      <c r="A21" s="43">
        <v>45670</v>
      </c>
      <c r="B21" t="s">
        <v>202</v>
      </c>
      <c r="C21">
        <v>2219</v>
      </c>
      <c r="E21">
        <v>95852</v>
      </c>
    </row>
    <row r="22" spans="1:5" hidden="1" x14ac:dyDescent="0.3">
      <c r="A22" s="43">
        <v>45680</v>
      </c>
      <c r="B22" t="s">
        <v>202</v>
      </c>
      <c r="C22">
        <v>1123</v>
      </c>
      <c r="E22">
        <v>130722</v>
      </c>
    </row>
    <row r="23" spans="1:5" hidden="1" x14ac:dyDescent="0.3">
      <c r="A23" s="43">
        <v>45679</v>
      </c>
      <c r="B23" t="s">
        <v>202</v>
      </c>
      <c r="C23">
        <v>860</v>
      </c>
      <c r="E23">
        <v>129599</v>
      </c>
    </row>
    <row r="24" spans="1:5" x14ac:dyDescent="0.3">
      <c r="A24" s="43">
        <v>45668</v>
      </c>
      <c r="B24" t="s">
        <v>203</v>
      </c>
      <c r="D24">
        <v>3359</v>
      </c>
      <c r="E24">
        <v>96115</v>
      </c>
    </row>
    <row r="25" spans="1:5" hidden="1" x14ac:dyDescent="0.3">
      <c r="A25" s="43">
        <v>45678</v>
      </c>
      <c r="B25" t="s">
        <v>202</v>
      </c>
      <c r="C25">
        <v>1215</v>
      </c>
      <c r="E25">
        <v>126162</v>
      </c>
    </row>
    <row r="26" spans="1:5" x14ac:dyDescent="0.3">
      <c r="A26" s="43">
        <v>45669</v>
      </c>
      <c r="B26" t="s">
        <v>202</v>
      </c>
      <c r="C26">
        <v>2329</v>
      </c>
      <c r="E26">
        <v>98444</v>
      </c>
    </row>
    <row r="27" spans="1:5" x14ac:dyDescent="0.3">
      <c r="A27" s="43">
        <v>45668</v>
      </c>
      <c r="B27" t="s">
        <v>204</v>
      </c>
      <c r="C27">
        <v>13037</v>
      </c>
      <c r="E27">
        <v>99474</v>
      </c>
    </row>
    <row r="28" spans="1:5" hidden="1" x14ac:dyDescent="0.3">
      <c r="A28" s="43">
        <v>45676</v>
      </c>
      <c r="B28" t="s">
        <v>202</v>
      </c>
      <c r="C28">
        <v>1446</v>
      </c>
      <c r="E28">
        <v>118523</v>
      </c>
    </row>
    <row r="29" spans="1:5" x14ac:dyDescent="0.3">
      <c r="A29" s="43">
        <v>45670</v>
      </c>
      <c r="B29" t="s">
        <v>203</v>
      </c>
      <c r="D29">
        <v>965</v>
      </c>
      <c r="E29">
        <v>102987</v>
      </c>
    </row>
    <row r="30" spans="1:5" x14ac:dyDescent="0.3">
      <c r="A30" s="43">
        <v>45670</v>
      </c>
      <c r="B30" t="s">
        <v>205</v>
      </c>
      <c r="C30">
        <v>8100</v>
      </c>
      <c r="E30">
        <v>103952</v>
      </c>
    </row>
    <row r="31" spans="1:5" x14ac:dyDescent="0.3">
      <c r="A31" s="43">
        <v>45672</v>
      </c>
      <c r="B31" t="s">
        <v>202</v>
      </c>
      <c r="C31">
        <v>2387</v>
      </c>
      <c r="E31">
        <v>106701</v>
      </c>
    </row>
    <row r="32" spans="1:5" x14ac:dyDescent="0.3">
      <c r="A32" s="43">
        <v>45672</v>
      </c>
      <c r="B32" t="s">
        <v>204</v>
      </c>
      <c r="C32">
        <v>4287</v>
      </c>
      <c r="E32">
        <v>110988</v>
      </c>
    </row>
    <row r="33" spans="1:5" x14ac:dyDescent="0.3">
      <c r="A33" s="43">
        <v>45673</v>
      </c>
      <c r="B33" t="s">
        <v>202</v>
      </c>
      <c r="C33">
        <v>1872</v>
      </c>
      <c r="E33">
        <v>112860</v>
      </c>
    </row>
    <row r="34" spans="1:5" hidden="1" x14ac:dyDescent="0.3">
      <c r="A34" s="43">
        <v>45671</v>
      </c>
      <c r="B34" t="s">
        <v>202</v>
      </c>
      <c r="C34">
        <v>1327</v>
      </c>
      <c r="E34">
        <v>104314</v>
      </c>
    </row>
    <row r="35" spans="1:5" x14ac:dyDescent="0.3">
      <c r="A35" s="43">
        <v>45674</v>
      </c>
      <c r="B35" t="s">
        <v>202</v>
      </c>
      <c r="C35">
        <v>2434</v>
      </c>
      <c r="E35">
        <v>115294</v>
      </c>
    </row>
    <row r="36" spans="1:5" x14ac:dyDescent="0.3">
      <c r="A36" s="43">
        <v>45675</v>
      </c>
      <c r="B36" t="s">
        <v>202</v>
      </c>
      <c r="C36">
        <v>1783</v>
      </c>
      <c r="E36">
        <v>117077</v>
      </c>
    </row>
    <row r="37" spans="1:5" x14ac:dyDescent="0.3">
      <c r="A37" s="43">
        <v>45677</v>
      </c>
      <c r="B37" t="s">
        <v>203</v>
      </c>
      <c r="D37">
        <v>3459</v>
      </c>
      <c r="E37">
        <v>124947</v>
      </c>
    </row>
    <row r="38" spans="1:5" x14ac:dyDescent="0.3">
      <c r="A38" s="43">
        <v>45676</v>
      </c>
      <c r="B38" t="s">
        <v>205</v>
      </c>
      <c r="C38">
        <v>7500</v>
      </c>
      <c r="E38">
        <v>126023</v>
      </c>
    </row>
    <row r="39" spans="1:5" x14ac:dyDescent="0.3">
      <c r="A39" s="43">
        <v>45677</v>
      </c>
      <c r="B39" t="s">
        <v>202</v>
      </c>
      <c r="C39">
        <v>2383</v>
      </c>
      <c r="E39">
        <v>128406</v>
      </c>
    </row>
    <row r="40" spans="1:5" x14ac:dyDescent="0.3">
      <c r="A40" s="43">
        <v>45678</v>
      </c>
      <c r="B40" t="s">
        <v>203</v>
      </c>
      <c r="D40">
        <v>3193</v>
      </c>
      <c r="E40">
        <v>128739</v>
      </c>
    </row>
    <row r="41" spans="1:5" x14ac:dyDescent="0.3">
      <c r="A41" s="43">
        <v>45678</v>
      </c>
      <c r="B41" t="s">
        <v>207</v>
      </c>
      <c r="C41">
        <v>5770</v>
      </c>
      <c r="E41">
        <v>131932</v>
      </c>
    </row>
    <row r="42" spans="1:5" x14ac:dyDescent="0.3">
      <c r="A42" s="43">
        <v>45680</v>
      </c>
      <c r="B42" t="s">
        <v>205</v>
      </c>
      <c r="C42">
        <v>8589</v>
      </c>
      <c r="E42">
        <v>139311</v>
      </c>
    </row>
    <row r="43" spans="1:5" hidden="1" x14ac:dyDescent="0.3">
      <c r="A43" s="43">
        <v>45665</v>
      </c>
      <c r="B43" t="s">
        <v>202</v>
      </c>
      <c r="C43">
        <v>950</v>
      </c>
      <c r="E43">
        <v>70321</v>
      </c>
    </row>
    <row r="44" spans="1:5" x14ac:dyDescent="0.3">
      <c r="A44" s="43">
        <v>45681</v>
      </c>
      <c r="B44" t="s">
        <v>202</v>
      </c>
      <c r="C44">
        <v>1743</v>
      </c>
      <c r="E44">
        <v>141054</v>
      </c>
    </row>
    <row r="45" spans="1:5" x14ac:dyDescent="0.3">
      <c r="A45" s="43">
        <v>45682</v>
      </c>
      <c r="B45" t="s">
        <v>202</v>
      </c>
      <c r="C45">
        <v>1904</v>
      </c>
      <c r="E45">
        <v>142958</v>
      </c>
    </row>
    <row r="46" spans="1:5" hidden="1" x14ac:dyDescent="0.3">
      <c r="A46" s="43">
        <v>45663</v>
      </c>
      <c r="B46" t="s">
        <v>202</v>
      </c>
      <c r="C46">
        <v>1137</v>
      </c>
      <c r="E46">
        <v>67628</v>
      </c>
    </row>
    <row r="47" spans="1:5" x14ac:dyDescent="0.3">
      <c r="A47" s="43">
        <v>45682</v>
      </c>
      <c r="B47" t="s">
        <v>203</v>
      </c>
      <c r="D47">
        <v>3683</v>
      </c>
      <c r="E47">
        <v>145862</v>
      </c>
    </row>
    <row r="48" spans="1:5" x14ac:dyDescent="0.3">
      <c r="A48" s="43">
        <v>45684</v>
      </c>
      <c r="B48" t="s">
        <v>202</v>
      </c>
      <c r="C48">
        <v>2042</v>
      </c>
      <c r="E48">
        <v>148905</v>
      </c>
    </row>
    <row r="49" spans="1:5" x14ac:dyDescent="0.3">
      <c r="A49" s="43">
        <v>45682</v>
      </c>
      <c r="B49" t="s">
        <v>208</v>
      </c>
      <c r="C49">
        <v>6587</v>
      </c>
      <c r="E49">
        <v>149545</v>
      </c>
    </row>
    <row r="50" spans="1:5" x14ac:dyDescent="0.3">
      <c r="A50" s="43">
        <v>45685</v>
      </c>
      <c r="B50" t="s">
        <v>202</v>
      </c>
      <c r="C50">
        <v>1594</v>
      </c>
      <c r="E50">
        <v>150499</v>
      </c>
    </row>
    <row r="51" spans="1:5" hidden="1" x14ac:dyDescent="0.3">
      <c r="A51" s="43">
        <v>45659</v>
      </c>
      <c r="B51" t="s">
        <v>202</v>
      </c>
      <c r="C51">
        <v>1212</v>
      </c>
      <c r="E51">
        <v>53309</v>
      </c>
    </row>
    <row r="52" spans="1:5" x14ac:dyDescent="0.3">
      <c r="A52" s="43">
        <v>45687</v>
      </c>
      <c r="B52" t="s">
        <v>207</v>
      </c>
      <c r="C52">
        <v>4371</v>
      </c>
      <c r="E52">
        <v>156946</v>
      </c>
    </row>
  </sheetData>
  <autoFilter ref="A1:E53" xr:uid="{569B9F6B-B831-4EF0-90D2-10B98D9C01B6}">
    <filterColumn colId="2">
      <customFilters>
        <customFilter operator="greaterThan" val="1500"/>
        <customFilter val=""/>
      </customFilters>
    </filterColumn>
    <sortState xmlns:xlrd2="http://schemas.microsoft.com/office/spreadsheetml/2017/richdata2" ref="A2:E53">
      <sortCondition ref="E1:E53"/>
    </sortState>
  </autoFilter>
  <sortState xmlns:xlrd2="http://schemas.microsoft.com/office/spreadsheetml/2017/richdata2" ref="A2:E52">
    <sortCondition descending="1" ref="C2:C52"/>
    <sortCondition descending="1" ref="A2:A5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3769-CFC5-4F16-86D2-AF43D6FD164A}">
  <dimension ref="A1:I12"/>
  <sheetViews>
    <sheetView workbookViewId="0">
      <selection activeCell="J13" sqref="J13"/>
    </sheetView>
  </sheetViews>
  <sheetFormatPr defaultRowHeight="14.4" x14ac:dyDescent="0.3"/>
  <cols>
    <col min="2" max="2" width="9.44140625" bestFit="1" customWidth="1"/>
    <col min="6" max="6" width="11.109375" bestFit="1" customWidth="1"/>
    <col min="7" max="7" width="9.5546875" bestFit="1" customWidth="1"/>
    <col min="8" max="9" width="11.109375" bestFit="1" customWidth="1"/>
  </cols>
  <sheetData>
    <row r="1" spans="1:9" ht="28.8" x14ac:dyDescent="0.3">
      <c r="A1" s="44" t="s">
        <v>116</v>
      </c>
      <c r="B1" s="44" t="s">
        <v>89</v>
      </c>
      <c r="C1" s="44" t="s">
        <v>78</v>
      </c>
      <c r="D1" s="44" t="s">
        <v>90</v>
      </c>
      <c r="E1" s="44" t="s">
        <v>210</v>
      </c>
      <c r="F1" s="44" t="s">
        <v>211</v>
      </c>
      <c r="G1" s="44" t="s">
        <v>81</v>
      </c>
      <c r="H1" s="44" t="s">
        <v>27</v>
      </c>
      <c r="I1" s="44" t="s">
        <v>40</v>
      </c>
    </row>
    <row r="2" spans="1:9" x14ac:dyDescent="0.3">
      <c r="A2" s="45">
        <v>1</v>
      </c>
      <c r="B2" s="45" t="s">
        <v>212</v>
      </c>
      <c r="C2" s="45">
        <v>10</v>
      </c>
      <c r="D2" s="45">
        <v>100</v>
      </c>
      <c r="E2" s="45">
        <v>150</v>
      </c>
      <c r="F2" s="45">
        <f>C2*E2</f>
        <v>1500</v>
      </c>
      <c r="G2" s="45">
        <f>F2*5%</f>
        <v>75</v>
      </c>
      <c r="H2" s="45">
        <f>F2+G2</f>
        <v>1575</v>
      </c>
      <c r="I2" s="45">
        <f>(E2-D2)*C2</f>
        <v>500</v>
      </c>
    </row>
    <row r="3" spans="1:9" x14ac:dyDescent="0.3">
      <c r="A3" s="45">
        <v>2</v>
      </c>
      <c r="B3" s="45" t="s">
        <v>213</v>
      </c>
      <c r="C3" s="45">
        <v>20</v>
      </c>
      <c r="D3" s="45">
        <v>80</v>
      </c>
      <c r="E3" s="45">
        <v>100</v>
      </c>
      <c r="F3" s="45">
        <f t="shared" ref="F3:F11" si="0">C3*E3</f>
        <v>2000</v>
      </c>
      <c r="G3" s="45">
        <f t="shared" ref="G3:G11" si="1">F3*5%</f>
        <v>100</v>
      </c>
      <c r="H3" s="45">
        <f t="shared" ref="H3:H11" si="2">F3+G3</f>
        <v>2100</v>
      </c>
      <c r="I3" s="45">
        <f t="shared" ref="I3:I11" si="3">(E3-D3)*C3</f>
        <v>400</v>
      </c>
    </row>
    <row r="4" spans="1:9" x14ac:dyDescent="0.3">
      <c r="A4" s="45">
        <v>3</v>
      </c>
      <c r="B4" s="45" t="s">
        <v>214</v>
      </c>
      <c r="C4" s="45">
        <v>60</v>
      </c>
      <c r="D4" s="45">
        <v>7.5</v>
      </c>
      <c r="E4" s="45">
        <v>10</v>
      </c>
      <c r="F4" s="45">
        <f t="shared" si="0"/>
        <v>600</v>
      </c>
      <c r="G4" s="45">
        <f t="shared" si="1"/>
        <v>30</v>
      </c>
      <c r="H4" s="45">
        <f t="shared" si="2"/>
        <v>630</v>
      </c>
      <c r="I4" s="45">
        <f t="shared" si="3"/>
        <v>150</v>
      </c>
    </row>
    <row r="5" spans="1:9" x14ac:dyDescent="0.3">
      <c r="A5" s="45">
        <v>4</v>
      </c>
      <c r="B5" s="45" t="s">
        <v>215</v>
      </c>
      <c r="C5" s="45">
        <v>15</v>
      </c>
      <c r="D5" s="45">
        <v>45</v>
      </c>
      <c r="E5" s="45">
        <v>60</v>
      </c>
      <c r="F5" s="45">
        <f t="shared" si="0"/>
        <v>900</v>
      </c>
      <c r="G5" s="45">
        <f t="shared" si="1"/>
        <v>45</v>
      </c>
      <c r="H5" s="45">
        <f t="shared" si="2"/>
        <v>945</v>
      </c>
      <c r="I5" s="45">
        <f t="shared" si="3"/>
        <v>225</v>
      </c>
    </row>
    <row r="6" spans="1:9" x14ac:dyDescent="0.3">
      <c r="A6" s="45">
        <v>5</v>
      </c>
      <c r="B6" s="45" t="s">
        <v>216</v>
      </c>
      <c r="C6" s="45">
        <v>12</v>
      </c>
      <c r="D6" s="45">
        <v>15</v>
      </c>
      <c r="E6" s="45">
        <v>20</v>
      </c>
      <c r="F6" s="45">
        <f t="shared" si="0"/>
        <v>240</v>
      </c>
      <c r="G6" s="45">
        <f t="shared" si="1"/>
        <v>12</v>
      </c>
      <c r="H6" s="45">
        <f t="shared" si="2"/>
        <v>252</v>
      </c>
      <c r="I6" s="45">
        <f t="shared" si="3"/>
        <v>60</v>
      </c>
    </row>
    <row r="7" spans="1:9" x14ac:dyDescent="0.3">
      <c r="A7" s="45">
        <v>6</v>
      </c>
      <c r="B7" s="45" t="s">
        <v>217</v>
      </c>
      <c r="C7" s="45">
        <v>12</v>
      </c>
      <c r="D7" s="45">
        <v>25</v>
      </c>
      <c r="E7" s="45">
        <v>30</v>
      </c>
      <c r="F7" s="45">
        <f t="shared" si="0"/>
        <v>360</v>
      </c>
      <c r="G7" s="45">
        <f t="shared" si="1"/>
        <v>18</v>
      </c>
      <c r="H7" s="45">
        <f t="shared" si="2"/>
        <v>378</v>
      </c>
      <c r="I7" s="45">
        <f t="shared" si="3"/>
        <v>60</v>
      </c>
    </row>
    <row r="8" spans="1:9" x14ac:dyDescent="0.3">
      <c r="A8" s="45">
        <v>7</v>
      </c>
      <c r="B8" s="45" t="s">
        <v>218</v>
      </c>
      <c r="C8" s="45">
        <v>12</v>
      </c>
      <c r="D8" s="45">
        <v>8</v>
      </c>
      <c r="E8" s="45">
        <v>10</v>
      </c>
      <c r="F8" s="45">
        <f t="shared" si="0"/>
        <v>120</v>
      </c>
      <c r="G8" s="45">
        <f t="shared" si="1"/>
        <v>6</v>
      </c>
      <c r="H8" s="45">
        <f t="shared" si="2"/>
        <v>126</v>
      </c>
      <c r="I8" s="45">
        <f t="shared" si="3"/>
        <v>24</v>
      </c>
    </row>
    <row r="9" spans="1:9" x14ac:dyDescent="0.3">
      <c r="A9" s="45">
        <v>8</v>
      </c>
      <c r="B9" s="45" t="s">
        <v>219</v>
      </c>
      <c r="C9" s="45">
        <v>10</v>
      </c>
      <c r="D9" s="45">
        <v>80</v>
      </c>
      <c r="E9" s="45">
        <v>100</v>
      </c>
      <c r="F9" s="45">
        <f t="shared" si="0"/>
        <v>1000</v>
      </c>
      <c r="G9" s="45">
        <f t="shared" si="1"/>
        <v>50</v>
      </c>
      <c r="H9" s="45">
        <f t="shared" si="2"/>
        <v>1050</v>
      </c>
      <c r="I9" s="45">
        <f t="shared" si="3"/>
        <v>200</v>
      </c>
    </row>
    <row r="10" spans="1:9" x14ac:dyDescent="0.3">
      <c r="A10" s="45">
        <v>9</v>
      </c>
      <c r="B10" s="45" t="s">
        <v>220</v>
      </c>
      <c r="C10" s="45">
        <v>25</v>
      </c>
      <c r="D10" s="45">
        <v>6</v>
      </c>
      <c r="E10" s="45">
        <v>10</v>
      </c>
      <c r="F10" s="45">
        <f t="shared" si="0"/>
        <v>250</v>
      </c>
      <c r="G10" s="45">
        <f t="shared" si="1"/>
        <v>12.5</v>
      </c>
      <c r="H10" s="45">
        <f t="shared" si="2"/>
        <v>262.5</v>
      </c>
      <c r="I10" s="45">
        <f t="shared" si="3"/>
        <v>100</v>
      </c>
    </row>
    <row r="11" spans="1:9" x14ac:dyDescent="0.3">
      <c r="A11" s="45">
        <v>10</v>
      </c>
      <c r="B11" s="45" t="s">
        <v>221</v>
      </c>
      <c r="C11" s="45">
        <v>30</v>
      </c>
      <c r="D11" s="45">
        <v>15</v>
      </c>
      <c r="E11" s="45">
        <v>30</v>
      </c>
      <c r="F11" s="45">
        <f t="shared" si="0"/>
        <v>900</v>
      </c>
      <c r="G11" s="45">
        <f t="shared" si="1"/>
        <v>45</v>
      </c>
      <c r="H11" s="45">
        <f t="shared" si="2"/>
        <v>945</v>
      </c>
      <c r="I11" s="45">
        <f t="shared" si="3"/>
        <v>450</v>
      </c>
    </row>
    <row r="12" spans="1:9" x14ac:dyDescent="0.3">
      <c r="A12" s="46" t="s">
        <v>82</v>
      </c>
      <c r="B12" s="46"/>
      <c r="C12" s="46">
        <f>SUM(C2:C11)</f>
        <v>206</v>
      </c>
      <c r="D12" s="46"/>
      <c r="E12" s="46"/>
      <c r="F12" s="47">
        <f>SUM(F2:F11)</f>
        <v>7870</v>
      </c>
      <c r="G12" s="47">
        <f>SUM(G2:G11)</f>
        <v>393.5</v>
      </c>
      <c r="H12" s="47">
        <f>SUM(H2:H11)</f>
        <v>8263.5</v>
      </c>
      <c r="I12" s="47">
        <f>SUM(I2:I11)</f>
        <v>2169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712E-C92A-407A-AAAF-9B2D1F1FC283}">
  <dimension ref="A1:F21"/>
  <sheetViews>
    <sheetView tabSelected="1" workbookViewId="0">
      <selection activeCell="I11" sqref="I11"/>
    </sheetView>
  </sheetViews>
  <sheetFormatPr defaultRowHeight="14.4" x14ac:dyDescent="0.3"/>
  <cols>
    <col min="1" max="1" width="13.21875" bestFit="1" customWidth="1"/>
    <col min="2" max="2" width="19.21875" bestFit="1" customWidth="1"/>
    <col min="3" max="3" width="23.88671875" bestFit="1" customWidth="1"/>
    <col min="4" max="4" width="19.5546875" bestFit="1" customWidth="1"/>
    <col min="5" max="5" width="17.44140625" bestFit="1" customWidth="1"/>
    <col min="6" max="6" width="16.33203125" bestFit="1" customWidth="1"/>
  </cols>
  <sheetData>
    <row r="1" spans="1:6" ht="21" x14ac:dyDescent="0.4">
      <c r="A1" s="48" t="s">
        <v>37</v>
      </c>
      <c r="B1" s="48" t="s">
        <v>24</v>
      </c>
      <c r="C1" s="48" t="s">
        <v>222</v>
      </c>
      <c r="D1" s="48" t="s">
        <v>223</v>
      </c>
      <c r="E1" s="48" t="s">
        <v>9</v>
      </c>
      <c r="F1" s="48" t="s">
        <v>224</v>
      </c>
    </row>
    <row r="2" spans="1:6" ht="18" x14ac:dyDescent="0.35">
      <c r="A2" s="49" t="s">
        <v>146</v>
      </c>
      <c r="B2" s="49">
        <v>39</v>
      </c>
      <c r="C2" s="49">
        <v>71</v>
      </c>
      <c r="D2" s="49">
        <v>42</v>
      </c>
      <c r="E2" s="49">
        <f>SUM(B2:D2)</f>
        <v>152</v>
      </c>
      <c r="F2" s="50">
        <f>E2/300</f>
        <v>0.50666666666666671</v>
      </c>
    </row>
    <row r="3" spans="1:6" ht="18" x14ac:dyDescent="0.35">
      <c r="A3" s="49" t="s">
        <v>147</v>
      </c>
      <c r="B3" s="49">
        <v>26</v>
      </c>
      <c r="C3" s="49">
        <v>84</v>
      </c>
      <c r="D3" s="49">
        <v>55</v>
      </c>
      <c r="E3" s="49">
        <f t="shared" ref="E3:E20" si="0">SUM(B3:D3)</f>
        <v>165</v>
      </c>
      <c r="F3" s="50">
        <f t="shared" ref="F3:F21" si="1">E3/300</f>
        <v>0.55000000000000004</v>
      </c>
    </row>
    <row r="4" spans="1:6" ht="18" x14ac:dyDescent="0.35">
      <c r="A4" s="49" t="s">
        <v>148</v>
      </c>
      <c r="B4" s="49">
        <v>36</v>
      </c>
      <c r="C4" s="49">
        <v>82</v>
      </c>
      <c r="D4" s="49">
        <v>30</v>
      </c>
      <c r="E4" s="49">
        <f t="shared" si="0"/>
        <v>148</v>
      </c>
      <c r="F4" s="50">
        <f t="shared" si="1"/>
        <v>0.49333333333333335</v>
      </c>
    </row>
    <row r="5" spans="1:6" ht="18" x14ac:dyDescent="0.35">
      <c r="A5" s="49" t="s">
        <v>149</v>
      </c>
      <c r="B5" s="49">
        <v>42</v>
      </c>
      <c r="C5" s="49">
        <v>47</v>
      </c>
      <c r="D5" s="49">
        <v>57</v>
      </c>
      <c r="E5" s="49">
        <f t="shared" si="0"/>
        <v>146</v>
      </c>
      <c r="F5" s="50">
        <f t="shared" si="1"/>
        <v>0.48666666666666669</v>
      </c>
    </row>
    <row r="6" spans="1:6" ht="18" x14ac:dyDescent="0.35">
      <c r="A6" s="49" t="s">
        <v>150</v>
      </c>
      <c r="B6" s="49">
        <v>88</v>
      </c>
      <c r="C6" s="49">
        <v>24</v>
      </c>
      <c r="D6" s="49">
        <v>55</v>
      </c>
      <c r="E6" s="49">
        <f t="shared" si="0"/>
        <v>167</v>
      </c>
      <c r="F6" s="50">
        <f t="shared" si="1"/>
        <v>0.55666666666666664</v>
      </c>
    </row>
    <row r="7" spans="1:6" ht="18" x14ac:dyDescent="0.35">
      <c r="A7" s="49" t="s">
        <v>151</v>
      </c>
      <c r="B7" s="49">
        <v>37</v>
      </c>
      <c r="C7" s="49">
        <v>23</v>
      </c>
      <c r="D7" s="49">
        <v>25</v>
      </c>
      <c r="E7" s="49">
        <f t="shared" si="0"/>
        <v>85</v>
      </c>
      <c r="F7" s="50">
        <f t="shared" si="1"/>
        <v>0.28333333333333333</v>
      </c>
    </row>
    <row r="8" spans="1:6" ht="18" x14ac:dyDescent="0.35">
      <c r="A8" s="49" t="s">
        <v>152</v>
      </c>
      <c r="B8" s="49">
        <v>38</v>
      </c>
      <c r="C8" s="49">
        <v>91</v>
      </c>
      <c r="D8" s="49">
        <v>94</v>
      </c>
      <c r="E8" s="49">
        <f t="shared" si="0"/>
        <v>223</v>
      </c>
      <c r="F8" s="50">
        <f t="shared" si="1"/>
        <v>0.74333333333333329</v>
      </c>
    </row>
    <row r="9" spans="1:6" ht="18" x14ac:dyDescent="0.35">
      <c r="A9" s="49" t="s">
        <v>153</v>
      </c>
      <c r="B9" s="49">
        <v>50</v>
      </c>
      <c r="C9" s="49">
        <v>29</v>
      </c>
      <c r="D9" s="49">
        <v>93</v>
      </c>
      <c r="E9" s="49">
        <f t="shared" si="0"/>
        <v>172</v>
      </c>
      <c r="F9" s="50">
        <f t="shared" si="1"/>
        <v>0.57333333333333336</v>
      </c>
    </row>
    <row r="10" spans="1:6" ht="18" x14ac:dyDescent="0.35">
      <c r="A10" s="49" t="s">
        <v>154</v>
      </c>
      <c r="B10" s="49">
        <v>93</v>
      </c>
      <c r="C10" s="49">
        <v>34</v>
      </c>
      <c r="D10" s="49">
        <v>24</v>
      </c>
      <c r="E10" s="49">
        <f t="shared" si="0"/>
        <v>151</v>
      </c>
      <c r="F10" s="50">
        <f t="shared" si="1"/>
        <v>0.5033333333333333</v>
      </c>
    </row>
    <row r="11" spans="1:6" ht="18" x14ac:dyDescent="0.35">
      <c r="A11" s="49" t="s">
        <v>155</v>
      </c>
      <c r="B11" s="49">
        <v>29</v>
      </c>
      <c r="C11" s="49">
        <v>79</v>
      </c>
      <c r="D11" s="49">
        <v>43</v>
      </c>
      <c r="E11" s="49">
        <f t="shared" si="0"/>
        <v>151</v>
      </c>
      <c r="F11" s="50">
        <f t="shared" si="1"/>
        <v>0.5033333333333333</v>
      </c>
    </row>
    <row r="12" spans="1:6" ht="18" x14ac:dyDescent="0.35">
      <c r="A12" s="49" t="s">
        <v>156</v>
      </c>
      <c r="B12" s="49">
        <v>57</v>
      </c>
      <c r="C12" s="49">
        <v>39</v>
      </c>
      <c r="D12" s="49">
        <v>61</v>
      </c>
      <c r="E12" s="49">
        <f t="shared" si="0"/>
        <v>157</v>
      </c>
      <c r="F12" s="50">
        <f t="shared" si="1"/>
        <v>0.52333333333333332</v>
      </c>
    </row>
    <row r="13" spans="1:6" ht="18" x14ac:dyDescent="0.35">
      <c r="A13" s="49" t="s">
        <v>157</v>
      </c>
      <c r="B13" s="49">
        <v>90</v>
      </c>
      <c r="C13" s="49">
        <v>94</v>
      </c>
      <c r="D13" s="49">
        <v>78</v>
      </c>
      <c r="E13" s="49">
        <f t="shared" si="0"/>
        <v>262</v>
      </c>
      <c r="F13" s="50">
        <f t="shared" si="1"/>
        <v>0.87333333333333329</v>
      </c>
    </row>
    <row r="14" spans="1:6" ht="18" x14ac:dyDescent="0.35">
      <c r="A14" s="49" t="s">
        <v>158</v>
      </c>
      <c r="B14" s="49">
        <v>58</v>
      </c>
      <c r="C14" s="49">
        <v>23</v>
      </c>
      <c r="D14" s="49">
        <v>39</v>
      </c>
      <c r="E14" s="49">
        <f t="shared" si="0"/>
        <v>120</v>
      </c>
      <c r="F14" s="50">
        <f t="shared" si="1"/>
        <v>0.4</v>
      </c>
    </row>
    <row r="15" spans="1:6" ht="18" x14ac:dyDescent="0.35">
      <c r="A15" s="49" t="s">
        <v>159</v>
      </c>
      <c r="B15" s="49">
        <v>30</v>
      </c>
      <c r="C15" s="49">
        <v>79</v>
      </c>
      <c r="D15" s="49">
        <v>81</v>
      </c>
      <c r="E15" s="49">
        <f t="shared" si="0"/>
        <v>190</v>
      </c>
      <c r="F15" s="50">
        <f t="shared" si="1"/>
        <v>0.6333333333333333</v>
      </c>
    </row>
    <row r="16" spans="1:6" ht="18" x14ac:dyDescent="0.35">
      <c r="A16" s="49" t="s">
        <v>160</v>
      </c>
      <c r="B16" s="49">
        <v>96</v>
      </c>
      <c r="C16" s="49">
        <v>25</v>
      </c>
      <c r="D16" s="49">
        <v>45</v>
      </c>
      <c r="E16" s="49">
        <f t="shared" si="0"/>
        <v>166</v>
      </c>
      <c r="F16" s="50">
        <f t="shared" si="1"/>
        <v>0.55333333333333334</v>
      </c>
    </row>
    <row r="17" spans="1:6" ht="18" x14ac:dyDescent="0.35">
      <c r="A17" s="49" t="s">
        <v>161</v>
      </c>
      <c r="B17" s="49">
        <v>53</v>
      </c>
      <c r="C17" s="49">
        <v>58</v>
      </c>
      <c r="D17" s="49">
        <v>37</v>
      </c>
      <c r="E17" s="49">
        <f t="shared" si="0"/>
        <v>148</v>
      </c>
      <c r="F17" s="50">
        <f t="shared" si="1"/>
        <v>0.49333333333333335</v>
      </c>
    </row>
    <row r="18" spans="1:6" ht="18" x14ac:dyDescent="0.35">
      <c r="A18" s="49" t="s">
        <v>162</v>
      </c>
      <c r="B18" s="49">
        <v>26</v>
      </c>
      <c r="C18" s="49">
        <v>45</v>
      </c>
      <c r="D18" s="49">
        <v>31</v>
      </c>
      <c r="E18" s="49">
        <f t="shared" si="0"/>
        <v>102</v>
      </c>
      <c r="F18" s="50">
        <f t="shared" si="1"/>
        <v>0.34</v>
      </c>
    </row>
    <row r="19" spans="1:6" ht="18" x14ac:dyDescent="0.35">
      <c r="A19" s="49" t="s">
        <v>163</v>
      </c>
      <c r="B19" s="49">
        <v>59</v>
      </c>
      <c r="C19" s="49">
        <v>54</v>
      </c>
      <c r="D19" s="49">
        <v>81</v>
      </c>
      <c r="E19" s="49">
        <f t="shared" si="0"/>
        <v>194</v>
      </c>
      <c r="F19" s="50">
        <f t="shared" si="1"/>
        <v>0.64666666666666661</v>
      </c>
    </row>
    <row r="20" spans="1:6" ht="18" x14ac:dyDescent="0.35">
      <c r="A20" s="49" t="s">
        <v>164</v>
      </c>
      <c r="B20" s="49">
        <v>94</v>
      </c>
      <c r="C20" s="49">
        <v>93</v>
      </c>
      <c r="D20" s="49">
        <v>55</v>
      </c>
      <c r="E20" s="49">
        <f t="shared" si="0"/>
        <v>242</v>
      </c>
      <c r="F20" s="50">
        <f t="shared" si="1"/>
        <v>0.80666666666666664</v>
      </c>
    </row>
    <row r="21" spans="1:6" ht="18" x14ac:dyDescent="0.35">
      <c r="A21" s="49" t="s">
        <v>165</v>
      </c>
      <c r="B21" s="49">
        <v>91</v>
      </c>
      <c r="C21" s="49">
        <v>46</v>
      </c>
      <c r="D21" s="49">
        <v>54</v>
      </c>
      <c r="E21" s="49">
        <f>SUM(B21:D21)</f>
        <v>191</v>
      </c>
      <c r="F21" s="50">
        <f t="shared" si="1"/>
        <v>0.63666666666666671</v>
      </c>
    </row>
  </sheetData>
  <phoneticPr fontId="6" type="noConversion"/>
  <conditionalFormatting sqref="B2:D21">
    <cfRule type="cellIs" dxfId="2" priority="2" operator="greaterThan">
      <formula>50</formula>
    </cfRule>
    <cfRule type="cellIs" dxfId="1" priority="3" operator="lessThan">
      <formula>50</formula>
    </cfRule>
  </conditionalFormatting>
  <conditionalFormatting sqref="F2:F21">
    <cfRule type="cellIs" dxfId="0" priority="4" operator="lessThan">
      <formula>0.56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Pratice1 </vt:lpstr>
      <vt:lpstr>marks</vt:lpstr>
      <vt:lpstr>sales </vt:lpstr>
      <vt:lpstr>sales2</vt:lpstr>
      <vt:lpstr>Sheet1</vt:lpstr>
      <vt:lpstr>expense </vt:lpstr>
      <vt:lpstr>Condtotinal</vt:lpstr>
      <vt:lpstr>Sheet2</vt:lpstr>
      <vt:lpstr>Sheet3</vt:lpstr>
      <vt:lpstr>random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Nabeel</dc:creator>
  <cp:keywords>pratice Book</cp:keywords>
  <cp:lastModifiedBy>Mohd Nabeel</cp:lastModifiedBy>
  <dcterms:created xsi:type="dcterms:W3CDTF">2026-06-23T05:19:32Z</dcterms:created>
  <dcterms:modified xsi:type="dcterms:W3CDTF">2026-06-26T06:14:04Z</dcterms:modified>
</cp:coreProperties>
</file>